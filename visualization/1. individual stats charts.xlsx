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chartsheets/sheet5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teusz\Desktop\ZBIORCZE\TECH\ANALIZA DANYCH\SQL\VS\Projekty MB\SQL Analysis of International Football Results\visualization\"/>
    </mc:Choice>
  </mc:AlternateContent>
  <xr:revisionPtr revIDLastSave="0" documentId="13_ncr:1_{6ACB398C-79C1-4507-9CD4-921CEC211BF6}" xr6:coauthVersionLast="47" xr6:coauthVersionMax="47" xr10:uidLastSave="{00000000-0000-0000-0000-000000000000}"/>
  <workbookProtection lockStructure="1"/>
  <bookViews>
    <workbookView xWindow="-120" yWindow="-120" windowWidth="29040" windowHeight="15840" xr2:uid="{00000000-000D-0000-FFFF-FFFF00000000}"/>
  </bookViews>
  <sheets>
    <sheet name="1.1 Top scorers" sheetId="16" r:id="rId1"/>
    <sheet name="Top scorers" sheetId="1" state="hidden" r:id="rId2"/>
    <sheet name="1.2 Top 10 Polish scorers" sheetId="18" r:id="rId3"/>
    <sheet name=" Top 10 Polish scorers3" sheetId="5" state="hidden" r:id="rId4"/>
    <sheet name="1.3 Top scorers every decade" sheetId="28" r:id="rId5"/>
    <sheet name="Top scorers every decade" sheetId="12" state="hidden" r:id="rId6"/>
    <sheet name="1.4 Key players" sheetId="20" r:id="rId7"/>
    <sheet name="Key players" sheetId="8" state="hidden" r:id="rId8"/>
    <sheet name="1.5 Penalty's goals stats" sheetId="26" r:id="rId9"/>
    <sheet name="Penalty's goals stats" sheetId="15" state="hidden" r:id="rId10"/>
    <sheet name="Goals in every decade" sheetId="3" state="hidden" r:id="rId11"/>
    <sheet name="Polish team stats" sheetId="6" state="hidden" r:id="rId12"/>
    <sheet name="Arkusz7" sheetId="7" state="hidden" r:id="rId13"/>
    <sheet name="Brazil vs Argentina" sheetId="9" state="hidden" r:id="rId14"/>
    <sheet name="Arkusz10" sheetId="10" state="hidden" r:id="rId15"/>
    <sheet name="Arkusz13" sheetId="13" state="hidden" r:id="rId16"/>
  </sheets>
  <definedNames>
    <definedName name="_xlnm._FilterDatabase" localSheetId="14" hidden="1">Arkusz10!$F$15:$H$115</definedName>
    <definedName name="_xlnm._FilterDatabase" localSheetId="10" hidden="1">'Goals in every decade'!$F$11:$I$17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13" i="3"/>
  <c r="E14" i="3"/>
  <c r="E15" i="3"/>
  <c r="E16" i="3"/>
  <c r="E17" i="3"/>
</calcChain>
</file>

<file path=xl/sharedStrings.xml><?xml version="1.0" encoding="utf-8"?>
<sst xmlns="http://schemas.openxmlformats.org/spreadsheetml/2006/main" count="485" uniqueCount="344">
  <si>
    <t>scorer</t>
  </si>
  <si>
    <t>team</t>
  </si>
  <si>
    <t>goals_scored</t>
  </si>
  <si>
    <t>Cristiano Ronaldo</t>
  </si>
  <si>
    <t>Portugal</t>
  </si>
  <si>
    <t>Robert Lewandowski</t>
  </si>
  <si>
    <t>Poland</t>
  </si>
  <si>
    <t>Belgium</t>
  </si>
  <si>
    <t>Harry Kane</t>
  </si>
  <si>
    <t>England</t>
  </si>
  <si>
    <t>Argentina</t>
  </si>
  <si>
    <t>Bosnia and Herzegovina</t>
  </si>
  <si>
    <t>Iran</t>
  </si>
  <si>
    <t>Germany</t>
  </si>
  <si>
    <t>Carlos Ruiz</t>
  </si>
  <si>
    <t>Guatemala</t>
  </si>
  <si>
    <t>Uruguay</t>
  </si>
  <si>
    <t>Neymar</t>
  </si>
  <si>
    <t xml:space="preserve">Top 10 scorers of all time </t>
  </si>
  <si>
    <t>Sum of goals scored grouped by a decade (since 70's) and the difference between current row and previous decade</t>
  </si>
  <si>
    <t>decade</t>
  </si>
  <si>
    <t>previous_decade_diff</t>
  </si>
  <si>
    <t>1970-1979</t>
  </si>
  <si>
    <t>1980-1989</t>
  </si>
  <si>
    <t>1990-1999</t>
  </si>
  <si>
    <t>2000-2009</t>
  </si>
  <si>
    <t>2010-2009</t>
  </si>
  <si>
    <t>2020-NOW</t>
  </si>
  <si>
    <t>Top 10 Polish scorers</t>
  </si>
  <si>
    <t>nr</t>
  </si>
  <si>
    <t>Włodzimierz Lubański</t>
  </si>
  <si>
    <t>Grzegorz Lato</t>
  </si>
  <si>
    <t>Zbigniew Boniek</t>
  </si>
  <si>
    <t>Kazimierz Deyna</t>
  </si>
  <si>
    <t>Andrzej Szarmach</t>
  </si>
  <si>
    <t>Włodzimierz Smolarek</t>
  </si>
  <si>
    <t>Arkadiusz Milik</t>
  </si>
  <si>
    <t>Euzebiusz Smolarek</t>
  </si>
  <si>
    <t>Andrzej Juskowiak</t>
  </si>
  <si>
    <t>Top 10 nations with the most wins against Poland</t>
  </si>
  <si>
    <t>Hungary</t>
  </si>
  <si>
    <t>Sweden</t>
  </si>
  <si>
    <t>Romania</t>
  </si>
  <si>
    <t>Czechoslovakia</t>
  </si>
  <si>
    <t>Netherlands</t>
  </si>
  <si>
    <t>Denmark</t>
  </si>
  <si>
    <t>France</t>
  </si>
  <si>
    <t>Yugoslavia</t>
  </si>
  <si>
    <t>Top 10 countries Poland has won against the most</t>
  </si>
  <si>
    <t>Finland</t>
  </si>
  <si>
    <t>Latvia</t>
  </si>
  <si>
    <t>Turkey</t>
  </si>
  <si>
    <t>Norway</t>
  </si>
  <si>
    <t>Bulgaria</t>
  </si>
  <si>
    <t>Republic of Ireland</t>
  </si>
  <si>
    <t>Albania</t>
  </si>
  <si>
    <t>San Marino</t>
  </si>
  <si>
    <t>Greece</t>
  </si>
  <si>
    <t xml:space="preserve">Top 10 countries Poland has drawn with the most </t>
  </si>
  <si>
    <t>Top 20 countries that have the highest average of away goals in the last 10 years (only teams with more than 30 games played)</t>
  </si>
  <si>
    <t xml:space="preserve">Top scorers that change the final result of the game in the key moment </t>
  </si>
  <si>
    <t>row_number</t>
  </si>
  <si>
    <t>Wales</t>
  </si>
  <si>
    <t>Gareth Bale</t>
  </si>
  <si>
    <t>Kylian Mbappé</t>
  </si>
  <si>
    <t>Italy</t>
  </si>
  <si>
    <t>Roberto Baggio</t>
  </si>
  <si>
    <t>Robbie Keane</t>
  </si>
  <si>
    <t>Montenegro</t>
  </si>
  <si>
    <t>Stevan Jovetić</t>
  </si>
  <si>
    <t>Alberto Gilardino</t>
  </si>
  <si>
    <t>Cameroon</t>
  </si>
  <si>
    <t>Roger Milla</t>
  </si>
  <si>
    <t>away_team</t>
  </si>
  <si>
    <t>Haiti</t>
  </si>
  <si>
    <t>Spain</t>
  </si>
  <si>
    <t>Solomon Islands</t>
  </si>
  <si>
    <t>Russia</t>
  </si>
  <si>
    <t>Japan</t>
  </si>
  <si>
    <t>Algeria</t>
  </si>
  <si>
    <t>Indonesia</t>
  </si>
  <si>
    <t>New Caledonia</t>
  </si>
  <si>
    <t>--11. Comparsion between Brazil and Argentina (results and goals)</t>
  </si>
  <si>
    <t>country</t>
  </si>
  <si>
    <t>wins</t>
  </si>
  <si>
    <t>losses</t>
  </si>
  <si>
    <t>draws</t>
  </si>
  <si>
    <t>Brazil</t>
  </si>
  <si>
    <t>place</t>
  </si>
  <si>
    <t>South Korea</t>
  </si>
  <si>
    <t>Mexico</t>
  </si>
  <si>
    <t>Scotland</t>
  </si>
  <si>
    <t>Egypt</t>
  </si>
  <si>
    <t>Austria</t>
  </si>
  <si>
    <t>Zambia</t>
  </si>
  <si>
    <t>Thailand</t>
  </si>
  <si>
    <t>Saudi Arabia</t>
  </si>
  <si>
    <t>United States</t>
  </si>
  <si>
    <t>Malaysia</t>
  </si>
  <si>
    <t>China PR</t>
  </si>
  <si>
    <t>Switzerland</t>
  </si>
  <si>
    <t>Trinidad and Tobago</t>
  </si>
  <si>
    <t>Costa Rica</t>
  </si>
  <si>
    <t>Chile</t>
  </si>
  <si>
    <t>Ivory Coast</t>
  </si>
  <si>
    <t>Ghana</t>
  </si>
  <si>
    <t>Nigeria</t>
  </si>
  <si>
    <t>Iraq</t>
  </si>
  <si>
    <t>Tunisia</t>
  </si>
  <si>
    <t>Morocco</t>
  </si>
  <si>
    <t>Uganda</t>
  </si>
  <si>
    <t>Senegal</t>
  </si>
  <si>
    <t>Kuwait</t>
  </si>
  <si>
    <t>Paraguay</t>
  </si>
  <si>
    <t>Australia</t>
  </si>
  <si>
    <t>Kenya</t>
  </si>
  <si>
    <t>Colombia</t>
  </si>
  <si>
    <t>Qatar</t>
  </si>
  <si>
    <t>Jamaica</t>
  </si>
  <si>
    <t>Honduras</t>
  </si>
  <si>
    <t>United Arab Emirates</t>
  </si>
  <si>
    <t>Peru</t>
  </si>
  <si>
    <t>Mali</t>
  </si>
  <si>
    <t>Malawi</t>
  </si>
  <si>
    <t>Singapore</t>
  </si>
  <si>
    <t>Bahrain</t>
  </si>
  <si>
    <t>South Africa</t>
  </si>
  <si>
    <t>Oman</t>
  </si>
  <si>
    <t>Guinea</t>
  </si>
  <si>
    <t>DR Congo</t>
  </si>
  <si>
    <t>El Salvador</t>
  </si>
  <si>
    <t>Myanmar</t>
  </si>
  <si>
    <t>Croatia</t>
  </si>
  <si>
    <t>Northern Ireland</t>
  </si>
  <si>
    <t>Zimbabwe</t>
  </si>
  <si>
    <t>Ecuador</t>
  </si>
  <si>
    <t>India</t>
  </si>
  <si>
    <t>Panama</t>
  </si>
  <si>
    <t>Jordan</t>
  </si>
  <si>
    <t>Israel</t>
  </si>
  <si>
    <t>Tanzania</t>
  </si>
  <si>
    <t>Canada</t>
  </si>
  <si>
    <t>Czech Republic</t>
  </si>
  <si>
    <t>Syria</t>
  </si>
  <si>
    <t>Suriname</t>
  </si>
  <si>
    <t>Burkina Faso</t>
  </si>
  <si>
    <t>North Korea</t>
  </si>
  <si>
    <t>New Zealand</t>
  </si>
  <si>
    <t>Iceland</t>
  </si>
  <si>
    <t>Uzbekistan</t>
  </si>
  <si>
    <t>Sudan</t>
  </si>
  <si>
    <t>Angola</t>
  </si>
  <si>
    <t>Serbia</t>
  </si>
  <si>
    <t>Ukraine</t>
  </si>
  <si>
    <t>Gabon</t>
  </si>
  <si>
    <t>Togo</t>
  </si>
  <si>
    <t>--12. Countries ordered by an elo system (win = 3 points</t>
  </si>
  <si>
    <t xml:space="preserve"> lose = 0</t>
  </si>
  <si>
    <t xml:space="preserve"> draw = 1)</t>
  </si>
  <si>
    <t>Bangladesh</t>
  </si>
  <si>
    <t>Ethiopia</t>
  </si>
  <si>
    <t>Hong Kong</t>
  </si>
  <si>
    <t>Nepal</t>
  </si>
  <si>
    <t xml:space="preserve">--14. Top scorers in every decade     </t>
  </si>
  <si>
    <t>most_goals</t>
  </si>
  <si>
    <t>1910s</t>
  </si>
  <si>
    <t>Carlos Scarone</t>
  </si>
  <si>
    <t>Neco</t>
  </si>
  <si>
    <t>1920s</t>
  </si>
  <si>
    <t>Pedro Petrone</t>
  </si>
  <si>
    <t>1930s</t>
  </si>
  <si>
    <t>Gyula Zsengellér</t>
  </si>
  <si>
    <t>Severino Varela</t>
  </si>
  <si>
    <t>Teodoro Fernández</t>
  </si>
  <si>
    <t>1940s</t>
  </si>
  <si>
    <t>Norberto Doroteo Méndez</t>
  </si>
  <si>
    <t>1950s</t>
  </si>
  <si>
    <t>Just Fontaine</t>
  </si>
  <si>
    <t>1960s</t>
  </si>
  <si>
    <t>Eusébio</t>
  </si>
  <si>
    <t>1970s</t>
  </si>
  <si>
    <t>Gerd Müller</t>
  </si>
  <si>
    <t>1980s</t>
  </si>
  <si>
    <t>Karl-Heinz Rummenigge</t>
  </si>
  <si>
    <t>1990s</t>
  </si>
  <si>
    <t>Gabriel Batistuta</t>
  </si>
  <si>
    <t>2000s</t>
  </si>
  <si>
    <t>Jared Borgetti</t>
  </si>
  <si>
    <t>2010s</t>
  </si>
  <si>
    <t>2020s</t>
  </si>
  <si>
    <t>city</t>
  </si>
  <si>
    <t>num_of_games</t>
  </si>
  <si>
    <t>Kuala Lumpur</t>
  </si>
  <si>
    <t>Doha</t>
  </si>
  <si>
    <t>Bangkok</t>
  </si>
  <si>
    <t>Los Angeles</t>
  </si>
  <si>
    <t>Kuwait City</t>
  </si>
  <si>
    <t>Abu Dhabi</t>
  </si>
  <si>
    <t>Jakarta</t>
  </si>
  <si>
    <t>Dubai</t>
  </si>
  <si>
    <t>Soviet Union</t>
  </si>
  <si>
    <t>Moscow</t>
  </si>
  <si>
    <t>Seoul</t>
  </si>
  <si>
    <t>Tehran</t>
  </si>
  <si>
    <t>Malaya</t>
  </si>
  <si>
    <t>Riyadh</t>
  </si>
  <si>
    <t>Kampala</t>
  </si>
  <si>
    <t>Dutch Guyana</t>
  </si>
  <si>
    <t>Paramaribo</t>
  </si>
  <si>
    <t>Al Rayyan</t>
  </si>
  <si>
    <t>Nairobi</t>
  </si>
  <si>
    <t>Cairo</t>
  </si>
  <si>
    <t>Kallang</t>
  </si>
  <si>
    <t>Addis Ababa</t>
  </si>
  <si>
    <t>San José</t>
  </si>
  <si>
    <t>Amman</t>
  </si>
  <si>
    <t>London</t>
  </si>
  <si>
    <t>Dar es Salaam</t>
  </si>
  <si>
    <t>Miami</t>
  </si>
  <si>
    <t>Houston</t>
  </si>
  <si>
    <t>Johannesburg</t>
  </si>
  <si>
    <t>Montevideo</t>
  </si>
  <si>
    <t>Santiago</t>
  </si>
  <si>
    <t>Durban</t>
  </si>
  <si>
    <t>Buenos Aires</t>
  </si>
  <si>
    <t>New Delhi</t>
  </si>
  <si>
    <t>Dakar</t>
  </si>
  <si>
    <t>Paris</t>
  </si>
  <si>
    <t>So Kon Po</t>
  </si>
  <si>
    <t>Barcelona</t>
  </si>
  <si>
    <t>Kathmandu</t>
  </si>
  <si>
    <t>Fort Lauderdale</t>
  </si>
  <si>
    <t>Swaziland</t>
  </si>
  <si>
    <t>Lobamba</t>
  </si>
  <si>
    <t>Antalya</t>
  </si>
  <si>
    <t>East Rutherford</t>
  </si>
  <si>
    <t>Abidjan</t>
  </si>
  <si>
    <t>Dhaka</t>
  </si>
  <si>
    <t>Port of Spain</t>
  </si>
  <si>
    <t>Zaïre</t>
  </si>
  <si>
    <t>Kinshasa</t>
  </si>
  <si>
    <t>Honiara</t>
  </si>
  <si>
    <t>Samoa</t>
  </si>
  <si>
    <t>Apia</t>
  </si>
  <si>
    <t>Muscat</t>
  </si>
  <si>
    <t>Baghdad</t>
  </si>
  <si>
    <t>Number</t>
  </si>
  <si>
    <t>Name</t>
  </si>
  <si>
    <t>Goals scored</t>
  </si>
  <si>
    <t>Country</t>
  </si>
  <si>
    <t xml:space="preserve"> Ronaldo</t>
  </si>
  <si>
    <t xml:space="preserve"> Lewandowski</t>
  </si>
  <si>
    <t xml:space="preserve"> Lukaku</t>
  </si>
  <si>
    <t xml:space="preserve"> Kane</t>
  </si>
  <si>
    <t xml:space="preserve"> Messi</t>
  </si>
  <si>
    <t xml:space="preserve"> Džeko</t>
  </si>
  <si>
    <t xml:space="preserve"> Daei</t>
  </si>
  <si>
    <t xml:space="preserve"> Klose</t>
  </si>
  <si>
    <t xml:space="preserve"> Ruiz</t>
  </si>
  <si>
    <t xml:space="preserve"> Suárez</t>
  </si>
  <si>
    <t xml:space="preserve">Cristiano </t>
  </si>
  <si>
    <t xml:space="preserve">Robert </t>
  </si>
  <si>
    <t xml:space="preserve">Romelu </t>
  </si>
  <si>
    <t xml:space="preserve">Harry </t>
  </si>
  <si>
    <t xml:space="preserve">Lionel </t>
  </si>
  <si>
    <t xml:space="preserve">Edin </t>
  </si>
  <si>
    <t xml:space="preserve">Ali </t>
  </si>
  <si>
    <t xml:space="preserve">Miroslav </t>
  </si>
  <si>
    <t xml:space="preserve">Carlos </t>
  </si>
  <si>
    <t xml:space="preserve">Luis </t>
  </si>
  <si>
    <t>Hristo</t>
  </si>
  <si>
    <t>Fernando</t>
  </si>
  <si>
    <t>Christian</t>
  </si>
  <si>
    <t>Luka</t>
  </si>
  <si>
    <t>Harry</t>
  </si>
  <si>
    <t>Keisuke</t>
  </si>
  <si>
    <t>Cuauhtémoc</t>
  </si>
  <si>
    <t>Kubilay</t>
  </si>
  <si>
    <t>Gylfi</t>
  </si>
  <si>
    <t>Michael</t>
  </si>
  <si>
    <t>Eden</t>
  </si>
  <si>
    <t>Landon</t>
  </si>
  <si>
    <t>Lionel</t>
  </si>
  <si>
    <t>Antoine</t>
  </si>
  <si>
    <t>Stoichkov</t>
  </si>
  <si>
    <t>Hierro</t>
  </si>
  <si>
    <t>Eriksen</t>
  </si>
  <si>
    <t>Modrić</t>
  </si>
  <si>
    <t>Kane</t>
  </si>
  <si>
    <t>Honda</t>
  </si>
  <si>
    <t>Blanco</t>
  </si>
  <si>
    <t>Türkyilmaz</t>
  </si>
  <si>
    <t>Sigurðsson</t>
  </si>
  <si>
    <t>Ballack</t>
  </si>
  <si>
    <t>Hazard</t>
  </si>
  <si>
    <t>Donovan</t>
  </si>
  <si>
    <t>Messi</t>
  </si>
  <si>
    <t>Griezmann</t>
  </si>
  <si>
    <t>Penalty goals</t>
  </si>
  <si>
    <t>Percantage of penalty goals</t>
  </si>
  <si>
    <t>Nr</t>
  </si>
  <si>
    <t>Top 15 players with the biggest percentage of goals scored from penalties (only players with total goals scored higher than 20)</t>
  </si>
  <si>
    <t>Surname</t>
  </si>
  <si>
    <t>Lewandowski</t>
  </si>
  <si>
    <t>Lubański</t>
  </si>
  <si>
    <t>Lato</t>
  </si>
  <si>
    <t>Boniek</t>
  </si>
  <si>
    <t>Deyna</t>
  </si>
  <si>
    <t>Szarmach</t>
  </si>
  <si>
    <t>Smolarek</t>
  </si>
  <si>
    <t>Milik</t>
  </si>
  <si>
    <t>Juskowiak</t>
  </si>
  <si>
    <t>name</t>
  </si>
  <si>
    <t>The most popular places where home or away country didin't participate in the game</t>
  </si>
  <si>
    <t>sum of goals</t>
  </si>
  <si>
    <t>Ronaldo</t>
  </si>
  <si>
    <t>Bale</t>
  </si>
  <si>
    <t>Mbappé</t>
  </si>
  <si>
    <t>Baggio</t>
  </si>
  <si>
    <t>Keane</t>
  </si>
  <si>
    <t>Ruiz</t>
  </si>
  <si>
    <t>Jovetić</t>
  </si>
  <si>
    <t>Gilardino</t>
  </si>
  <si>
    <t>Milla</t>
  </si>
  <si>
    <t>Avg away goals</t>
  </si>
  <si>
    <t>Elo points</t>
  </si>
  <si>
    <t>Borgetti</t>
  </si>
  <si>
    <t>Batistuta</t>
  </si>
  <si>
    <t>Rummenigge</t>
  </si>
  <si>
    <t>Müller</t>
  </si>
  <si>
    <t>Fontaine</t>
  </si>
  <si>
    <t>Méndez</t>
  </si>
  <si>
    <t>Zsengellér</t>
  </si>
  <si>
    <t>Varela</t>
  </si>
  <si>
    <t>Fernández</t>
  </si>
  <si>
    <t>Petrone</t>
  </si>
  <si>
    <t>Scarone</t>
  </si>
  <si>
    <t>Decade</t>
  </si>
  <si>
    <t>Goals</t>
  </si>
  <si>
    <t>Previous decade value</t>
  </si>
  <si>
    <t>All goals</t>
  </si>
  <si>
    <t>Wins</t>
  </si>
  <si>
    <t>Loses</t>
  </si>
  <si>
    <t>Draws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</si>
</sst>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50"/>
      <color theme="1"/>
      <name val="Calibri"/>
      <family val="2"/>
      <charset val="238"/>
      <scheme val="minor"/>
    </font>
    <font>
      <b/>
      <sz val="25"/>
      <color rgb="FF000000"/>
      <name val="Calibri"/>
      <family val="2"/>
      <scheme val="minor"/>
    </font>
    <font>
      <sz val="25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49" fontId="2" fillId="4" borderId="12" xfId="0" applyNumberFormat="1" applyFont="1" applyFill="1" applyBorder="1" applyAlignment="1">
      <alignment horizontal="center" vertical="center"/>
    </xf>
    <xf numFmtId="49" fontId="2" fillId="4" borderId="13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49" fontId="2" fillId="4" borderId="12" xfId="0" applyNumberFormat="1" applyFont="1" applyFill="1" applyBorder="1" applyAlignment="1">
      <alignment horizontal="center" vertical="center"/>
    </xf>
    <xf numFmtId="49" fontId="2" fillId="4" borderId="1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ny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4.xml"/><Relationship Id="rId12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1.xml"/><Relationship Id="rId20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6.xml"/><Relationship Id="rId5" Type="http://schemas.openxmlformats.org/officeDocument/2006/relationships/chartsheet" Target="chartsheets/sheet3.xml"/><Relationship Id="rId15" Type="http://schemas.openxmlformats.org/officeDocument/2006/relationships/worksheet" Target="worksheets/sheet10.xml"/><Relationship Id="rId10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9" Type="http://schemas.openxmlformats.org/officeDocument/2006/relationships/chartsheet" Target="chartsheets/sheet5.xml"/><Relationship Id="rId14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 algn="ctr"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3000" b="1"/>
              <a:t>All Time Scorers</a:t>
            </a:r>
            <a:endParaRPr lang="en-US" sz="3000" b="1"/>
          </a:p>
        </c:rich>
      </c:tx>
      <c:layout>
        <c:manualLayout>
          <c:xMode val="edge"/>
          <c:yMode val="edge"/>
          <c:x val="0.32562482731038545"/>
          <c:y val="4.19708410403269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 algn="ctr"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3647699209901334E-2"/>
          <c:y val="2.2212094179160726E-2"/>
          <c:w val="0.95842924214389924"/>
          <c:h val="0.84332594538894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scorers'!$F$13</c:f>
              <c:strCache>
                <c:ptCount val="1"/>
                <c:pt idx="0">
                  <c:v>Goals scored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scorers'!$D$14:$D$23</c:f>
              <c:strCache>
                <c:ptCount val="10"/>
                <c:pt idx="0">
                  <c:v> Ronaldo</c:v>
                </c:pt>
                <c:pt idx="1">
                  <c:v> Lewandowski</c:v>
                </c:pt>
                <c:pt idx="2">
                  <c:v> Lukaku</c:v>
                </c:pt>
                <c:pt idx="3">
                  <c:v> Kane</c:v>
                </c:pt>
                <c:pt idx="4">
                  <c:v> Messi</c:v>
                </c:pt>
                <c:pt idx="5">
                  <c:v> Džeko</c:v>
                </c:pt>
                <c:pt idx="6">
                  <c:v> Daei</c:v>
                </c:pt>
                <c:pt idx="7">
                  <c:v> Klose</c:v>
                </c:pt>
                <c:pt idx="8">
                  <c:v> Ruiz</c:v>
                </c:pt>
                <c:pt idx="9">
                  <c:v> Suárez</c:v>
                </c:pt>
              </c:strCache>
            </c:strRef>
          </c:cat>
          <c:val>
            <c:numRef>
              <c:f>'Top scorers'!$F$14:$F$23</c:f>
              <c:numCache>
                <c:formatCode>General</c:formatCode>
                <c:ptCount val="10"/>
                <c:pt idx="0">
                  <c:v>108</c:v>
                </c:pt>
                <c:pt idx="1">
                  <c:v>63</c:v>
                </c:pt>
                <c:pt idx="2">
                  <c:v>60</c:v>
                </c:pt>
                <c:pt idx="3">
                  <c:v>58</c:v>
                </c:pt>
                <c:pt idx="4">
                  <c:v>55</c:v>
                </c:pt>
                <c:pt idx="5">
                  <c:v>50</c:v>
                </c:pt>
                <c:pt idx="6">
                  <c:v>49</c:v>
                </c:pt>
                <c:pt idx="7">
                  <c:v>48</c:v>
                </c:pt>
                <c:pt idx="8">
                  <c:v>47</c:v>
                </c:pt>
                <c:pt idx="9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B-44B1-99DE-C4EE0367CA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0011520"/>
        <c:axId val="860015120"/>
      </c:barChart>
      <c:catAx>
        <c:axId val="86001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444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74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0015120"/>
        <c:crosses val="autoZero"/>
        <c:auto val="1"/>
        <c:lblAlgn val="ctr"/>
        <c:lblOffset val="100"/>
        <c:noMultiLvlLbl val="0"/>
      </c:catAx>
      <c:valAx>
        <c:axId val="8600151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60011520"/>
        <c:crosses val="autoZero"/>
        <c:crossBetween val="between"/>
      </c:valAx>
      <c:spPr>
        <a:gradFill>
          <a:gsLst>
            <a:gs pos="27442">
              <a:srgbClr val="DEEBF7"/>
            </a:gs>
            <a:gs pos="26492">
              <a:srgbClr val="DFECF7"/>
            </a:gs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legendEntry>
      <c:layout>
        <c:manualLayout>
          <c:xMode val="edge"/>
          <c:yMode val="edge"/>
          <c:x val="0.7820912403226622"/>
          <c:y val="0.30344859349594167"/>
          <c:w val="0.20055421943219121"/>
          <c:h val="0.193290165944697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4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4500" b="1"/>
              <a:t>All Time Scorers</a:t>
            </a:r>
            <a:endParaRPr lang="en-US" sz="4500" b="1"/>
          </a:p>
        </c:rich>
      </c:tx>
      <c:layout>
        <c:manualLayout>
          <c:xMode val="edge"/>
          <c:yMode val="edge"/>
          <c:x val="0.41027904147395972"/>
          <c:y val="4.1970872875183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4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320906774028272E-2"/>
          <c:y val="4.7314452146274319E-2"/>
          <c:w val="0.92839068551947379"/>
          <c:h val="0.818223706682320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scorers'!$F$13</c:f>
              <c:strCache>
                <c:ptCount val="1"/>
                <c:pt idx="0">
                  <c:v>Goals scored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scorers'!$D$14:$D$23</c:f>
              <c:strCache>
                <c:ptCount val="10"/>
                <c:pt idx="0">
                  <c:v> Ronaldo</c:v>
                </c:pt>
                <c:pt idx="1">
                  <c:v> Lewandowski</c:v>
                </c:pt>
                <c:pt idx="2">
                  <c:v> Lukaku</c:v>
                </c:pt>
                <c:pt idx="3">
                  <c:v> Kane</c:v>
                </c:pt>
                <c:pt idx="4">
                  <c:v> Messi</c:v>
                </c:pt>
                <c:pt idx="5">
                  <c:v> Džeko</c:v>
                </c:pt>
                <c:pt idx="6">
                  <c:v> Daei</c:v>
                </c:pt>
                <c:pt idx="7">
                  <c:v> Klose</c:v>
                </c:pt>
                <c:pt idx="8">
                  <c:v> Ruiz</c:v>
                </c:pt>
                <c:pt idx="9">
                  <c:v> Suárez</c:v>
                </c:pt>
              </c:strCache>
            </c:strRef>
          </c:cat>
          <c:val>
            <c:numRef>
              <c:f>'Top scorers'!$F$14:$F$23</c:f>
              <c:numCache>
                <c:formatCode>General</c:formatCode>
                <c:ptCount val="10"/>
                <c:pt idx="0">
                  <c:v>108</c:v>
                </c:pt>
                <c:pt idx="1">
                  <c:v>63</c:v>
                </c:pt>
                <c:pt idx="2">
                  <c:v>60</c:v>
                </c:pt>
                <c:pt idx="3">
                  <c:v>58</c:v>
                </c:pt>
                <c:pt idx="4">
                  <c:v>55</c:v>
                </c:pt>
                <c:pt idx="5">
                  <c:v>50</c:v>
                </c:pt>
                <c:pt idx="6">
                  <c:v>49</c:v>
                </c:pt>
                <c:pt idx="7">
                  <c:v>48</c:v>
                </c:pt>
                <c:pt idx="8">
                  <c:v>47</c:v>
                </c:pt>
                <c:pt idx="9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2-4B06-A3CA-B331423D89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0011520"/>
        <c:axId val="860015120"/>
      </c:barChart>
      <c:catAx>
        <c:axId val="86001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0015120"/>
        <c:crosses val="autoZero"/>
        <c:auto val="1"/>
        <c:lblAlgn val="ctr"/>
        <c:lblOffset val="100"/>
        <c:noMultiLvlLbl val="0"/>
      </c:catAx>
      <c:valAx>
        <c:axId val="8600151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860011520"/>
        <c:crosses val="autoZero"/>
        <c:crossBetween val="between"/>
      </c:valAx>
      <c:spPr>
        <a:gradFill>
          <a:gsLst>
            <a:gs pos="27442">
              <a:srgbClr val="DEEBF7"/>
            </a:gs>
            <a:gs pos="26492">
              <a:srgbClr val="DFECF7"/>
            </a:gs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legendEntry>
      <c:layout>
        <c:manualLayout>
          <c:xMode val="edge"/>
          <c:yMode val="edge"/>
          <c:x val="0.80666822112444836"/>
          <c:y val="0.3452288701441022"/>
          <c:w val="0.17597718312975066"/>
          <c:h val="0.15150995998556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Top 10 Polish </a:t>
            </a:r>
            <a:r>
              <a: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S</a:t>
            </a:r>
            <a:r>
              <a:rPr lang="en-US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corers</a:t>
            </a:r>
          </a:p>
        </c:rich>
      </c:tx>
      <c:layout>
        <c:manualLayout>
          <c:xMode val="edge"/>
          <c:yMode val="edge"/>
          <c:x val="0.32876296717580311"/>
          <c:y val="5.85720798952159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3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3.9554173202442221E-2"/>
          <c:y val="5.2851950880303828E-3"/>
          <c:w val="0.95225348523927122"/>
          <c:h val="0.86896002671300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Top 10 Polish scorers3'!$G$15</c:f>
              <c:strCache>
                <c:ptCount val="1"/>
                <c:pt idx="0">
                  <c:v>Goals scored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Top 10 Polish scorers3'!$F$16:$F$25</c:f>
              <c:strCache>
                <c:ptCount val="10"/>
                <c:pt idx="0">
                  <c:v>Lewandowski</c:v>
                </c:pt>
                <c:pt idx="1">
                  <c:v>Lubański</c:v>
                </c:pt>
                <c:pt idx="2">
                  <c:v>Lato</c:v>
                </c:pt>
                <c:pt idx="3">
                  <c:v>Boniek</c:v>
                </c:pt>
                <c:pt idx="4">
                  <c:v>Deyna</c:v>
                </c:pt>
                <c:pt idx="5">
                  <c:v>Szarmach</c:v>
                </c:pt>
                <c:pt idx="6">
                  <c:v>Smolarek</c:v>
                </c:pt>
                <c:pt idx="7">
                  <c:v>Milik</c:v>
                </c:pt>
                <c:pt idx="8">
                  <c:v>Smolarek</c:v>
                </c:pt>
                <c:pt idx="9">
                  <c:v>Juskowiak</c:v>
                </c:pt>
              </c:strCache>
            </c:strRef>
          </c:cat>
          <c:val>
            <c:numRef>
              <c:f>' Top 10 Polish scorers3'!$G$16:$G$25</c:f>
              <c:numCache>
                <c:formatCode>General</c:formatCode>
                <c:ptCount val="10"/>
                <c:pt idx="0">
                  <c:v>63</c:v>
                </c:pt>
                <c:pt idx="1">
                  <c:v>21</c:v>
                </c:pt>
                <c:pt idx="2">
                  <c:v>19</c:v>
                </c:pt>
                <c:pt idx="3">
                  <c:v>14</c:v>
                </c:pt>
                <c:pt idx="4">
                  <c:v>14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9-43B2-8BFA-CF7231242D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49232648"/>
        <c:axId val="849233008"/>
      </c:barChart>
      <c:catAx>
        <c:axId val="84923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156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9233008"/>
        <c:crosses val="autoZero"/>
        <c:auto val="1"/>
        <c:lblAlgn val="ctr"/>
        <c:lblOffset val="100"/>
        <c:noMultiLvlLbl val="0"/>
      </c:catAx>
      <c:valAx>
        <c:axId val="8492330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49232648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r"/>
      <c:layout>
        <c:manualLayout>
          <c:xMode val="edge"/>
          <c:yMode val="edge"/>
          <c:x val="0.79428793822845456"/>
          <c:y val="0.46537449614972443"/>
          <c:w val="0.16748113449954147"/>
          <c:h val="0.12299070555076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pl-PL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Best Scorers in Every Decade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3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scorers every decade'!$J$15</c:f>
              <c:strCache>
                <c:ptCount val="1"/>
                <c:pt idx="0">
                  <c:v>most_goals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4998CA9-9935-4CF8-B9C1-A2297CEDA28B}" type="CELLRANGE">
                      <a:rPr lang="en-US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53D-44A3-BCE2-E15EDEBF0EB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9643573-89CA-4396-AC3F-0A789E02D66A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53D-44A3-BCE2-E15EDEBF0EB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4D8E9D6-7693-4E27-993F-1DA0997DE3BA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53D-44A3-BCE2-E15EDEBF0EB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28BFCDD-2DD6-4F2A-B2FE-D6EF1085AD56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53D-44A3-BCE2-E15EDEBF0EB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E6BE713-8F50-424D-95DC-FE0D3FB358E7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53D-44A3-BCE2-E15EDEBF0EB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1731ADA-F5D9-45DA-9A91-8F95B5FC8A6F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53D-44A3-BCE2-E15EDEBF0EB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6F33533-29FD-4383-9CFB-4A7C0D2F9445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53D-44A3-BCE2-E15EDEBF0EB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3E711FA-8423-4522-92D7-E2FE4C0D9D6B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53D-44A3-BCE2-E15EDEBF0EB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187D49C-605A-454E-A115-FE5B346A692A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53D-44A3-BCE2-E15EDEBF0EB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EC9307E-D42E-4136-8E69-47D191A4F087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53D-44A3-BCE2-E15EDEBF0EB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2FEC92F-645B-4E47-93DE-20B03928E7DB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53D-44A3-BCE2-E15EDEBF0EB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D2B9B63-9AAC-469B-9BED-C87E22043398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53D-44A3-BCE2-E15EDEBF0EB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0D18D21-A239-483B-B7A4-6ED59CF6C1E9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53D-44A3-BCE2-E15EDEBF0EB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93EBF45-5222-4E47-8BDF-296ECAC2960A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53D-44A3-BCE2-E15EDEBF0EB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63A82E9-1706-411A-88F2-D67CBB232D64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53D-44A3-BCE2-E15EDEBF0E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'Top scorers every decade'!$F$16:$F$30</c:f>
              <c:strCache>
                <c:ptCount val="15"/>
                <c:pt idx="0">
                  <c:v>2020s</c:v>
                </c:pt>
                <c:pt idx="1">
                  <c:v>2010s</c:v>
                </c:pt>
                <c:pt idx="2">
                  <c:v>2000s</c:v>
                </c:pt>
                <c:pt idx="3">
                  <c:v>1990s</c:v>
                </c:pt>
                <c:pt idx="4">
                  <c:v>1980s</c:v>
                </c:pt>
                <c:pt idx="5">
                  <c:v>1970s</c:v>
                </c:pt>
                <c:pt idx="6">
                  <c:v>1960s</c:v>
                </c:pt>
                <c:pt idx="7">
                  <c:v>1950s</c:v>
                </c:pt>
                <c:pt idx="8">
                  <c:v>1940s</c:v>
                </c:pt>
                <c:pt idx="9">
                  <c:v>1930s</c:v>
                </c:pt>
                <c:pt idx="10">
                  <c:v>1930s</c:v>
                </c:pt>
                <c:pt idx="11">
                  <c:v>1930s</c:v>
                </c:pt>
                <c:pt idx="12">
                  <c:v>1920s</c:v>
                </c:pt>
                <c:pt idx="13">
                  <c:v>1910s</c:v>
                </c:pt>
                <c:pt idx="14">
                  <c:v>1910s</c:v>
                </c:pt>
              </c:strCache>
            </c:strRef>
          </c:cat>
          <c:val>
            <c:numRef>
              <c:f>'Top scorers every decade'!$J$16:$J$30</c:f>
              <c:numCache>
                <c:formatCode>General</c:formatCode>
                <c:ptCount val="15"/>
                <c:pt idx="0">
                  <c:v>31</c:v>
                </c:pt>
                <c:pt idx="1">
                  <c:v>63</c:v>
                </c:pt>
                <c:pt idx="2">
                  <c:v>37</c:v>
                </c:pt>
                <c:pt idx="3">
                  <c:v>31</c:v>
                </c:pt>
                <c:pt idx="4">
                  <c:v>28</c:v>
                </c:pt>
                <c:pt idx="5">
                  <c:v>25</c:v>
                </c:pt>
                <c:pt idx="6">
                  <c:v>23</c:v>
                </c:pt>
                <c:pt idx="7">
                  <c:v>21</c:v>
                </c:pt>
                <c:pt idx="8">
                  <c:v>17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21</c:v>
                </c:pt>
                <c:pt idx="13">
                  <c:v>6</c:v>
                </c:pt>
                <c:pt idx="14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'Top scorers every decade'!$G$16:$G$30</c15:f>
                <c15:dlblRangeCache>
                  <c:ptCount val="15"/>
                  <c:pt idx="0">
                    <c:v>Kane</c:v>
                  </c:pt>
                  <c:pt idx="1">
                    <c:v>Ronaldo</c:v>
                  </c:pt>
                  <c:pt idx="2">
                    <c:v>Borgetti</c:v>
                  </c:pt>
                  <c:pt idx="3">
                    <c:v>Batistuta</c:v>
                  </c:pt>
                  <c:pt idx="4">
                    <c:v>Rummenigge</c:v>
                  </c:pt>
                  <c:pt idx="5">
                    <c:v>Müller</c:v>
                  </c:pt>
                  <c:pt idx="6">
                    <c:v>Eusébio</c:v>
                  </c:pt>
                  <c:pt idx="7">
                    <c:v>Fontaine</c:v>
                  </c:pt>
                  <c:pt idx="8">
                    <c:v>Méndez</c:v>
                  </c:pt>
                  <c:pt idx="9">
                    <c:v>Zsengellér</c:v>
                  </c:pt>
                  <c:pt idx="10">
                    <c:v>Varela</c:v>
                  </c:pt>
                  <c:pt idx="11">
                    <c:v>Fernández</c:v>
                  </c:pt>
                  <c:pt idx="12">
                    <c:v>Petrone</c:v>
                  </c:pt>
                  <c:pt idx="13">
                    <c:v>Scarone</c:v>
                  </c:pt>
                  <c:pt idx="14">
                    <c:v>Neco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153D-44A3-BCE2-E15EDEBF0EB1}"/>
            </c:ext>
          </c:extLst>
        </c:ser>
        <c:ser>
          <c:idx val="1"/>
          <c:order val="1"/>
          <c:tx>
            <c:strRef>
              <c:f>'Top scorers every decade'!$H$16:$H$29</c:f>
              <c:strCache>
                <c:ptCount val="14"/>
                <c:pt idx="0">
                  <c:v>Harry Kane</c:v>
                </c:pt>
                <c:pt idx="1">
                  <c:v>Cristiano Ronaldo</c:v>
                </c:pt>
                <c:pt idx="2">
                  <c:v>Jared Borgetti</c:v>
                </c:pt>
                <c:pt idx="3">
                  <c:v>Gabriel Batistuta</c:v>
                </c:pt>
                <c:pt idx="4">
                  <c:v>Karl-Heinz Rummenigge</c:v>
                </c:pt>
                <c:pt idx="5">
                  <c:v>Gerd Müller</c:v>
                </c:pt>
                <c:pt idx="6">
                  <c:v>Eusébio</c:v>
                </c:pt>
                <c:pt idx="7">
                  <c:v>Just Fontaine</c:v>
                </c:pt>
                <c:pt idx="8">
                  <c:v>Norberto Doroteo Méndez</c:v>
                </c:pt>
                <c:pt idx="9">
                  <c:v>Gyula Zsengellér</c:v>
                </c:pt>
                <c:pt idx="10">
                  <c:v>Severino Varela</c:v>
                </c:pt>
                <c:pt idx="11">
                  <c:v>Teodoro Fernández</c:v>
                </c:pt>
                <c:pt idx="12">
                  <c:v>Pedro Petrone</c:v>
                </c:pt>
                <c:pt idx="13">
                  <c:v>Carlos Scarone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'Top scorers every decade'!$H$16:$H$30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53D-44A3-BCE2-E15EDEBF0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00850840"/>
        <c:axId val="800851200"/>
      </c:barChart>
      <c:catAx>
        <c:axId val="800850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0851200"/>
        <c:crosses val="autoZero"/>
        <c:auto val="1"/>
        <c:lblAlgn val="ctr"/>
        <c:lblOffset val="100"/>
        <c:noMultiLvlLbl val="0"/>
      </c:catAx>
      <c:valAx>
        <c:axId val="80085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0850840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Best Clutch Players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3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1.0923122077715433E-2"/>
          <c:y val="2.2404713595918037E-2"/>
          <c:w val="0.98288811218132388"/>
          <c:h val="0.90827502884725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'Key players'!$H$14</c:f>
              <c:strCache>
                <c:ptCount val="1"/>
                <c:pt idx="0">
                  <c:v>sum of goals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633-46BC-BB8F-6583850F666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D633-46BC-BB8F-6583850F666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633-46BC-BB8F-6583850F666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D633-46BC-BB8F-6583850F666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633-46BC-BB8F-6583850F666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D633-46BC-BB8F-6583850F666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633-46BC-BB8F-6583850F6668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D633-46BC-BB8F-6583850F666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D633-46BC-BB8F-6583850F6668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D633-46BC-BB8F-6583850F66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players'!$G$15:$G$24</c:f>
              <c:strCache>
                <c:ptCount val="10"/>
                <c:pt idx="0">
                  <c:v>Kane</c:v>
                </c:pt>
                <c:pt idx="1">
                  <c:v>Ronaldo</c:v>
                </c:pt>
                <c:pt idx="2">
                  <c:v>Bale</c:v>
                </c:pt>
                <c:pt idx="3">
                  <c:v>Mbappé</c:v>
                </c:pt>
                <c:pt idx="4">
                  <c:v>Baggio</c:v>
                </c:pt>
                <c:pt idx="5">
                  <c:v>Keane</c:v>
                </c:pt>
                <c:pt idx="6">
                  <c:v>Ruiz</c:v>
                </c:pt>
                <c:pt idx="7">
                  <c:v>Jovetić</c:v>
                </c:pt>
                <c:pt idx="8">
                  <c:v>Gilardino</c:v>
                </c:pt>
                <c:pt idx="9">
                  <c:v>Milla</c:v>
                </c:pt>
              </c:strCache>
            </c:strRef>
          </c:cat>
          <c:val>
            <c:numRef>
              <c:f>'Key players'!$H$15:$H$24</c:f>
              <c:numCache>
                <c:formatCode>General</c:formatCode>
                <c:ptCount val="1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3-46BC-BB8F-6583850F66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2755920"/>
        <c:axId val="422764920"/>
      </c:barChart>
      <c:catAx>
        <c:axId val="42275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2764920"/>
        <c:crosses val="autoZero"/>
        <c:auto val="1"/>
        <c:lblAlgn val="ctr"/>
        <c:lblOffset val="100"/>
        <c:noMultiLvlLbl val="0"/>
      </c:catAx>
      <c:valAx>
        <c:axId val="4227649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22755920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22816961372344"/>
          <c:y val="0.18962518720900878"/>
          <c:w val="0.19629097649055996"/>
          <c:h val="0.12299070555076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2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pl-PL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Penalty and Total Goals Comparsion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3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1.3653902597144291E-2"/>
          <c:y val="6.4550406411122158E-3"/>
          <c:w val="0.97132680454599696"/>
          <c:h val="0.897297199493045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'Penalty''s goals stats'!$E$12</c:f>
              <c:strCache>
                <c:ptCount val="1"/>
                <c:pt idx="0">
                  <c:v>All goals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'Penalty''s goals stats'!$D$13:$D$27</c:f>
              <c:strCache>
                <c:ptCount val="15"/>
                <c:pt idx="0">
                  <c:v>Stoichkov</c:v>
                </c:pt>
                <c:pt idx="1">
                  <c:v>Hierro</c:v>
                </c:pt>
                <c:pt idx="2">
                  <c:v>Eriksen</c:v>
                </c:pt>
                <c:pt idx="3">
                  <c:v>Modrić</c:v>
                </c:pt>
                <c:pt idx="4">
                  <c:v>Kane</c:v>
                </c:pt>
                <c:pt idx="5">
                  <c:v>Honda</c:v>
                </c:pt>
                <c:pt idx="6">
                  <c:v>Blanco</c:v>
                </c:pt>
                <c:pt idx="7">
                  <c:v>Türkyilmaz</c:v>
                </c:pt>
                <c:pt idx="8">
                  <c:v>Sigurðsson</c:v>
                </c:pt>
                <c:pt idx="9">
                  <c:v>Ballack</c:v>
                </c:pt>
                <c:pt idx="10">
                  <c:v>Hazard</c:v>
                </c:pt>
                <c:pt idx="11">
                  <c:v>Donovan</c:v>
                </c:pt>
                <c:pt idx="12">
                  <c:v>Messi</c:v>
                </c:pt>
                <c:pt idx="13">
                  <c:v>Neymar</c:v>
                </c:pt>
                <c:pt idx="14">
                  <c:v>Griezmann</c:v>
                </c:pt>
              </c:strCache>
            </c:strRef>
          </c:cat>
          <c:val>
            <c:numRef>
              <c:f>'Penalty''s goals stats'!$E$13:$E$27</c:f>
              <c:numCache>
                <c:formatCode>General</c:formatCode>
                <c:ptCount val="15"/>
                <c:pt idx="0">
                  <c:v>28</c:v>
                </c:pt>
                <c:pt idx="1">
                  <c:v>26</c:v>
                </c:pt>
                <c:pt idx="2">
                  <c:v>27</c:v>
                </c:pt>
                <c:pt idx="3">
                  <c:v>22</c:v>
                </c:pt>
                <c:pt idx="4">
                  <c:v>58</c:v>
                </c:pt>
                <c:pt idx="5">
                  <c:v>21</c:v>
                </c:pt>
                <c:pt idx="6">
                  <c:v>34</c:v>
                </c:pt>
                <c:pt idx="7">
                  <c:v>26</c:v>
                </c:pt>
                <c:pt idx="8">
                  <c:v>24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55</c:v>
                </c:pt>
                <c:pt idx="13">
                  <c:v>31</c:v>
                </c:pt>
                <c:pt idx="1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3-4973-A3B7-968245454F75}"/>
            </c:ext>
          </c:extLst>
        </c:ser>
        <c:ser>
          <c:idx val="1"/>
          <c:order val="1"/>
          <c:tx>
            <c:strRef>
              <c:f>'Penalty''s goals stats'!$F$12</c:f>
              <c:strCache>
                <c:ptCount val="1"/>
                <c:pt idx="0">
                  <c:v>Penalty goals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'Penalty''s goals stats'!$D$13:$D$27</c:f>
              <c:strCache>
                <c:ptCount val="15"/>
                <c:pt idx="0">
                  <c:v>Stoichkov</c:v>
                </c:pt>
                <c:pt idx="1">
                  <c:v>Hierro</c:v>
                </c:pt>
                <c:pt idx="2">
                  <c:v>Eriksen</c:v>
                </c:pt>
                <c:pt idx="3">
                  <c:v>Modrić</c:v>
                </c:pt>
                <c:pt idx="4">
                  <c:v>Kane</c:v>
                </c:pt>
                <c:pt idx="5">
                  <c:v>Honda</c:v>
                </c:pt>
                <c:pt idx="6">
                  <c:v>Blanco</c:v>
                </c:pt>
                <c:pt idx="7">
                  <c:v>Türkyilmaz</c:v>
                </c:pt>
                <c:pt idx="8">
                  <c:v>Sigurðsson</c:v>
                </c:pt>
                <c:pt idx="9">
                  <c:v>Ballack</c:v>
                </c:pt>
                <c:pt idx="10">
                  <c:v>Hazard</c:v>
                </c:pt>
                <c:pt idx="11">
                  <c:v>Donovan</c:v>
                </c:pt>
                <c:pt idx="12">
                  <c:v>Messi</c:v>
                </c:pt>
                <c:pt idx="13">
                  <c:v>Neymar</c:v>
                </c:pt>
                <c:pt idx="14">
                  <c:v>Griezmann</c:v>
                </c:pt>
              </c:strCache>
            </c:strRef>
          </c:cat>
          <c:val>
            <c:numRef>
              <c:f>'Penalty''s goals stats'!$F$13:$F$27</c:f>
              <c:numCache>
                <c:formatCode>General</c:formatCode>
                <c:ptCount val="15"/>
                <c:pt idx="0">
                  <c:v>13</c:v>
                </c:pt>
                <c:pt idx="1">
                  <c:v>10</c:v>
                </c:pt>
                <c:pt idx="2">
                  <c:v>10</c:v>
                </c:pt>
                <c:pt idx="3">
                  <c:v>8</c:v>
                </c:pt>
                <c:pt idx="4">
                  <c:v>20</c:v>
                </c:pt>
                <c:pt idx="5">
                  <c:v>7</c:v>
                </c:pt>
                <c:pt idx="6">
                  <c:v>11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  <c:pt idx="10">
                  <c:v>7</c:v>
                </c:pt>
                <c:pt idx="11">
                  <c:v>10</c:v>
                </c:pt>
                <c:pt idx="12">
                  <c:v>14</c:v>
                </c:pt>
                <c:pt idx="13">
                  <c:v>8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3-4973-A3B7-968245454F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98159928"/>
        <c:axId val="698160288"/>
      </c:barChart>
      <c:catAx>
        <c:axId val="698159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8160288"/>
        <c:crosses val="autoZero"/>
        <c:auto val="1"/>
        <c:lblAlgn val="ctr"/>
        <c:lblOffset val="100"/>
        <c:noMultiLvlLbl val="0"/>
      </c:catAx>
      <c:valAx>
        <c:axId val="698160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98159928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863754479178875"/>
          <c:y val="0.10829361544563536"/>
          <c:w val="0.23256670791507059"/>
          <c:h val="4.5416915932923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pl-P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E000BBD-59D5-44B0-9E5A-2A6C1680F05F}">
  <sheetPr/>
  <sheetViews>
    <sheetView tabSelected="1" zoomScale="11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FB2B61-EAAA-46D4-BB62-2C9F4639852B}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6E693D-F51A-4F94-8590-D2EDC1D02BB1}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5EC61BE-A9C8-4971-BD80-A7A22E7C6395}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F6BE45-F878-4532-B522-F97639F321B3}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F148D25-C6DA-D2AB-ADF3-43533799D8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277092</xdr:colOff>
      <xdr:row>12</xdr:row>
      <xdr:rowOff>467590</xdr:rowOff>
    </xdr:from>
    <xdr:to>
      <xdr:col>28</xdr:col>
      <xdr:colOff>277905</xdr:colOff>
      <xdr:row>27</xdr:row>
      <xdr:rowOff>8411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57F6EB9-B1A9-4766-918D-43236EB65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A8572B2-AFE6-6AA0-FEBA-57FBAD2F35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05D1756-8B38-3D4A-BDF6-87A87BACC1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D3786A0-609F-04E6-7C8C-677C94AAFC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A8A3EBE-9A34-5CC9-31EA-53224D24C6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1"/>
  <sheetViews>
    <sheetView zoomScale="55" zoomScaleNormal="55" workbookViewId="0">
      <selection activeCell="D39" sqref="D39"/>
    </sheetView>
  </sheetViews>
  <sheetFormatPr defaultColWidth="0" defaultRowHeight="15" zeroHeight="1" x14ac:dyDescent="0.25"/>
  <cols>
    <col min="1" max="1" width="9.140625" customWidth="1"/>
    <col min="2" max="2" width="18.42578125" bestFit="1" customWidth="1"/>
    <col min="3" max="3" width="28.5703125" bestFit="1" customWidth="1"/>
    <col min="4" max="4" width="28.5703125" customWidth="1"/>
    <col min="5" max="5" width="48.85546875" bestFit="1" customWidth="1"/>
    <col min="6" max="6" width="27.42578125" bestFit="1" customWidth="1"/>
    <col min="7" max="33" width="9.140625" customWidth="1"/>
    <col min="34" max="34" width="0" hidden="1" customWidth="1"/>
    <col min="35" max="16384" width="9.140625" hidden="1"/>
  </cols>
  <sheetData>
    <row r="1" spans="1:6" s="20" customFormat="1" ht="15" customHeight="1" x14ac:dyDescent="0.25">
      <c r="A1" s="20" t="s">
        <v>18</v>
      </c>
    </row>
    <row r="2" spans="1:6" s="20" customFormat="1" ht="23.25" customHeight="1" x14ac:dyDescent="0.25"/>
    <row r="3" spans="1:6" s="20" customFormat="1" ht="28.5" customHeight="1" x14ac:dyDescent="0.25"/>
    <row r="4" spans="1:6" s="20" customFormat="1" ht="15" customHeight="1" x14ac:dyDescent="0.25"/>
    <row r="5" spans="1:6" s="20" customFormat="1" ht="15" customHeight="1" x14ac:dyDescent="0.25"/>
    <row r="6" spans="1:6" x14ac:dyDescent="0.25"/>
    <row r="7" spans="1:6" x14ac:dyDescent="0.25"/>
    <row r="8" spans="1:6" x14ac:dyDescent="0.25"/>
    <row r="9" spans="1:6" ht="50.25" customHeight="1" x14ac:dyDescent="0.25"/>
    <row r="10" spans="1:6" ht="33.75" customHeight="1" x14ac:dyDescent="0.25"/>
    <row r="11" spans="1:6" ht="30.75" customHeight="1" x14ac:dyDescent="0.25"/>
    <row r="12" spans="1:6" ht="30.75" customHeight="1" x14ac:dyDescent="0.25"/>
    <row r="13" spans="1:6" ht="47.25" customHeight="1" x14ac:dyDescent="0.25">
      <c r="B13" s="1" t="s">
        <v>246</v>
      </c>
      <c r="C13" s="22" t="s">
        <v>247</v>
      </c>
      <c r="D13" s="23"/>
      <c r="E13" s="1" t="s">
        <v>249</v>
      </c>
      <c r="F13" s="1" t="s">
        <v>248</v>
      </c>
    </row>
    <row r="14" spans="1:6" ht="42" customHeight="1" x14ac:dyDescent="0.25">
      <c r="B14" s="4">
        <v>1</v>
      </c>
      <c r="C14" s="5" t="s">
        <v>260</v>
      </c>
      <c r="D14" s="6" t="s">
        <v>250</v>
      </c>
      <c r="E14" s="6" t="s">
        <v>4</v>
      </c>
      <c r="F14" s="7">
        <v>108</v>
      </c>
    </row>
    <row r="15" spans="1:6" ht="42.75" customHeight="1" x14ac:dyDescent="0.25">
      <c r="B15" s="4">
        <v>2</v>
      </c>
      <c r="C15" s="5" t="s">
        <v>261</v>
      </c>
      <c r="D15" s="5" t="s">
        <v>251</v>
      </c>
      <c r="E15" s="6" t="s">
        <v>6</v>
      </c>
      <c r="F15" s="7">
        <v>63</v>
      </c>
    </row>
    <row r="16" spans="1:6" ht="42.75" customHeight="1" x14ac:dyDescent="0.25">
      <c r="B16" s="4">
        <v>3</v>
      </c>
      <c r="C16" s="5" t="s">
        <v>262</v>
      </c>
      <c r="D16" s="5" t="s">
        <v>252</v>
      </c>
      <c r="E16" s="6" t="s">
        <v>7</v>
      </c>
      <c r="F16" s="7">
        <v>60</v>
      </c>
    </row>
    <row r="17" spans="2:6" ht="42.75" customHeight="1" x14ac:dyDescent="0.25">
      <c r="B17" s="4">
        <v>4</v>
      </c>
      <c r="C17" s="5" t="s">
        <v>263</v>
      </c>
      <c r="D17" s="5" t="s">
        <v>253</v>
      </c>
      <c r="E17" s="6" t="s">
        <v>9</v>
      </c>
      <c r="F17" s="7">
        <v>58</v>
      </c>
    </row>
    <row r="18" spans="2:6" ht="40.5" customHeight="1" x14ac:dyDescent="0.25">
      <c r="B18" s="4">
        <v>5</v>
      </c>
      <c r="C18" s="5" t="s">
        <v>264</v>
      </c>
      <c r="D18" s="5" t="s">
        <v>254</v>
      </c>
      <c r="E18" s="6" t="s">
        <v>10</v>
      </c>
      <c r="F18" s="7">
        <v>55</v>
      </c>
    </row>
    <row r="19" spans="2:6" ht="47.25" customHeight="1" x14ac:dyDescent="0.25">
      <c r="B19" s="4">
        <v>6</v>
      </c>
      <c r="C19" s="5" t="s">
        <v>265</v>
      </c>
      <c r="D19" s="5" t="s">
        <v>255</v>
      </c>
      <c r="E19" s="6" t="s">
        <v>11</v>
      </c>
      <c r="F19" s="7">
        <v>50</v>
      </c>
    </row>
    <row r="20" spans="2:6" ht="40.5" customHeight="1" x14ac:dyDescent="0.25">
      <c r="B20" s="4">
        <v>7</v>
      </c>
      <c r="C20" s="5" t="s">
        <v>266</v>
      </c>
      <c r="D20" s="5" t="s">
        <v>256</v>
      </c>
      <c r="E20" s="6" t="s">
        <v>12</v>
      </c>
      <c r="F20" s="7">
        <v>49</v>
      </c>
    </row>
    <row r="21" spans="2:6" ht="42.75" customHeight="1" x14ac:dyDescent="0.25">
      <c r="B21" s="4">
        <v>8</v>
      </c>
      <c r="C21" s="5" t="s">
        <v>267</v>
      </c>
      <c r="D21" s="5" t="s">
        <v>257</v>
      </c>
      <c r="E21" s="6" t="s">
        <v>13</v>
      </c>
      <c r="F21" s="7">
        <v>48</v>
      </c>
    </row>
    <row r="22" spans="2:6" ht="45" customHeight="1" x14ac:dyDescent="0.25">
      <c r="B22" s="4">
        <v>9</v>
      </c>
      <c r="C22" s="5" t="s">
        <v>268</v>
      </c>
      <c r="D22" s="5" t="s">
        <v>258</v>
      </c>
      <c r="E22" s="6" t="s">
        <v>15</v>
      </c>
      <c r="F22" s="7">
        <v>47</v>
      </c>
    </row>
    <row r="23" spans="2:6" ht="51" customHeight="1" x14ac:dyDescent="0.25">
      <c r="B23" s="8">
        <v>10</v>
      </c>
      <c r="C23" s="9" t="s">
        <v>269</v>
      </c>
      <c r="D23" s="9" t="s">
        <v>259</v>
      </c>
      <c r="E23" s="10" t="s">
        <v>16</v>
      </c>
      <c r="F23" s="11">
        <v>47</v>
      </c>
    </row>
    <row r="24" spans="2:6" x14ac:dyDescent="0.25"/>
    <row r="25" spans="2:6" x14ac:dyDescent="0.25"/>
    <row r="26" spans="2:6" x14ac:dyDescent="0.25"/>
    <row r="27" spans="2:6" x14ac:dyDescent="0.25"/>
    <row r="28" spans="2:6" x14ac:dyDescent="0.25"/>
    <row r="29" spans="2:6" x14ac:dyDescent="0.25"/>
    <row r="30" spans="2:6" x14ac:dyDescent="0.25"/>
    <row r="31" spans="2:6" x14ac:dyDescent="0.25"/>
    <row r="32" spans="2:6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ht="8.25" customHeight="1" x14ac:dyDescent="0.25"/>
    <row r="47" spans="1:1" ht="15" customHeight="1" x14ac:dyDescent="0.25"/>
    <row r="48" spans="1:1" s="21" customFormat="1" x14ac:dyDescent="0.25">
      <c r="A48" s="20"/>
    </row>
    <row r="49" s="21" customFormat="1" x14ac:dyDescent="0.25"/>
    <row r="50" x14ac:dyDescent="0.25"/>
    <row r="51" x14ac:dyDescent="0.25"/>
  </sheetData>
  <mergeCells count="3">
    <mergeCell ref="A48:XFD49"/>
    <mergeCell ref="A1:XFD5"/>
    <mergeCell ref="C13:D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3D0F-60E5-4E87-9DCE-06B9B6F61869}">
  <dimension ref="D9:G25"/>
  <sheetViews>
    <sheetView workbookViewId="0">
      <selection activeCell="G16" sqref="G16"/>
    </sheetView>
  </sheetViews>
  <sheetFormatPr defaultRowHeight="15" x14ac:dyDescent="0.25"/>
  <sheetData>
    <row r="9" spans="4:7" x14ac:dyDescent="0.25">
      <c r="D9" t="s">
        <v>28</v>
      </c>
    </row>
    <row r="15" spans="4:7" x14ac:dyDescent="0.25">
      <c r="D15" t="s">
        <v>29</v>
      </c>
      <c r="E15" t="s">
        <v>0</v>
      </c>
      <c r="F15" t="s">
        <v>312</v>
      </c>
      <c r="G15" t="s">
        <v>248</v>
      </c>
    </row>
    <row r="16" spans="4:7" x14ac:dyDescent="0.25">
      <c r="D16">
        <v>1</v>
      </c>
      <c r="E16" t="s">
        <v>5</v>
      </c>
      <c r="F16" t="s">
        <v>303</v>
      </c>
      <c r="G16">
        <v>63</v>
      </c>
    </row>
    <row r="17" spans="4:7" x14ac:dyDescent="0.25">
      <c r="D17">
        <v>2</v>
      </c>
      <c r="E17" t="s">
        <v>30</v>
      </c>
      <c r="F17" t="s">
        <v>304</v>
      </c>
      <c r="G17">
        <v>21</v>
      </c>
    </row>
    <row r="18" spans="4:7" x14ac:dyDescent="0.25">
      <c r="D18">
        <v>3</v>
      </c>
      <c r="E18" t="s">
        <v>31</v>
      </c>
      <c r="F18" t="s">
        <v>305</v>
      </c>
      <c r="G18">
        <v>19</v>
      </c>
    </row>
    <row r="19" spans="4:7" x14ac:dyDescent="0.25">
      <c r="D19">
        <v>4</v>
      </c>
      <c r="E19" t="s">
        <v>32</v>
      </c>
      <c r="F19" t="s">
        <v>306</v>
      </c>
      <c r="G19">
        <v>14</v>
      </c>
    </row>
    <row r="20" spans="4:7" x14ac:dyDescent="0.25">
      <c r="D20">
        <v>5</v>
      </c>
      <c r="E20" t="s">
        <v>33</v>
      </c>
      <c r="F20" t="s">
        <v>307</v>
      </c>
      <c r="G20">
        <v>14</v>
      </c>
    </row>
    <row r="21" spans="4:7" x14ac:dyDescent="0.25">
      <c r="D21">
        <v>6</v>
      </c>
      <c r="E21" t="s">
        <v>34</v>
      </c>
      <c r="F21" t="s">
        <v>308</v>
      </c>
      <c r="G21">
        <v>13</v>
      </c>
    </row>
    <row r="22" spans="4:7" x14ac:dyDescent="0.25">
      <c r="D22">
        <v>7</v>
      </c>
      <c r="E22" t="s">
        <v>35</v>
      </c>
      <c r="F22" t="s">
        <v>309</v>
      </c>
      <c r="G22">
        <v>13</v>
      </c>
    </row>
    <row r="23" spans="4:7" x14ac:dyDescent="0.25">
      <c r="D23">
        <v>8</v>
      </c>
      <c r="E23" t="s">
        <v>36</v>
      </c>
      <c r="F23" t="s">
        <v>310</v>
      </c>
      <c r="G23">
        <v>12</v>
      </c>
    </row>
    <row r="24" spans="4:7" x14ac:dyDescent="0.25">
      <c r="D24">
        <v>9</v>
      </c>
      <c r="E24" t="s">
        <v>37</v>
      </c>
      <c r="F24" t="s">
        <v>309</v>
      </c>
      <c r="G24">
        <v>12</v>
      </c>
    </row>
    <row r="25" spans="4:7" x14ac:dyDescent="0.25">
      <c r="D25">
        <v>10</v>
      </c>
      <c r="E25" t="s">
        <v>38</v>
      </c>
      <c r="F25" t="s">
        <v>311</v>
      </c>
      <c r="G25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96D4-C4A6-430C-BE52-BF35DE8CF5FB}">
  <dimension ref="F10:J30"/>
  <sheetViews>
    <sheetView topLeftCell="A3" workbookViewId="0">
      <selection activeCell="G34" sqref="G34"/>
    </sheetView>
  </sheetViews>
  <sheetFormatPr defaultRowHeight="15" x14ac:dyDescent="0.25"/>
  <sheetData>
    <row r="10" spans="6:10" x14ac:dyDescent="0.25">
      <c r="F10" t="s">
        <v>163</v>
      </c>
    </row>
    <row r="15" spans="6:10" x14ac:dyDescent="0.25">
      <c r="F15" t="s">
        <v>20</v>
      </c>
      <c r="G15" t="s">
        <v>0</v>
      </c>
      <c r="H15" t="s">
        <v>0</v>
      </c>
      <c r="I15" t="s">
        <v>83</v>
      </c>
      <c r="J15" t="s">
        <v>164</v>
      </c>
    </row>
    <row r="16" spans="6:10" x14ac:dyDescent="0.25">
      <c r="F16" t="s">
        <v>189</v>
      </c>
      <c r="G16" t="s">
        <v>288</v>
      </c>
      <c r="H16" t="s">
        <v>8</v>
      </c>
      <c r="I16" t="s">
        <v>9</v>
      </c>
      <c r="J16">
        <v>31</v>
      </c>
    </row>
    <row r="17" spans="6:10" x14ac:dyDescent="0.25">
      <c r="F17" t="s">
        <v>188</v>
      </c>
      <c r="G17" t="s">
        <v>315</v>
      </c>
      <c r="H17" t="s">
        <v>3</v>
      </c>
      <c r="I17" t="s">
        <v>4</v>
      </c>
      <c r="J17">
        <v>63</v>
      </c>
    </row>
    <row r="18" spans="6:10" x14ac:dyDescent="0.25">
      <c r="F18" t="s">
        <v>186</v>
      </c>
      <c r="G18" t="s">
        <v>326</v>
      </c>
      <c r="H18" t="s">
        <v>187</v>
      </c>
      <c r="I18" t="s">
        <v>90</v>
      </c>
      <c r="J18">
        <v>37</v>
      </c>
    </row>
    <row r="19" spans="6:10" x14ac:dyDescent="0.25">
      <c r="F19" t="s">
        <v>184</v>
      </c>
      <c r="G19" t="s">
        <v>327</v>
      </c>
      <c r="H19" t="s">
        <v>185</v>
      </c>
      <c r="I19" t="s">
        <v>10</v>
      </c>
      <c r="J19">
        <v>31</v>
      </c>
    </row>
    <row r="20" spans="6:10" x14ac:dyDescent="0.25">
      <c r="F20" t="s">
        <v>182</v>
      </c>
      <c r="G20" t="s">
        <v>328</v>
      </c>
      <c r="H20" t="s">
        <v>183</v>
      </c>
      <c r="I20" t="s">
        <v>13</v>
      </c>
      <c r="J20">
        <v>28</v>
      </c>
    </row>
    <row r="21" spans="6:10" x14ac:dyDescent="0.25">
      <c r="F21" t="s">
        <v>180</v>
      </c>
      <c r="G21" t="s">
        <v>329</v>
      </c>
      <c r="H21" t="s">
        <v>181</v>
      </c>
      <c r="I21" t="s">
        <v>13</v>
      </c>
      <c r="J21">
        <v>25</v>
      </c>
    </row>
    <row r="22" spans="6:10" x14ac:dyDescent="0.25">
      <c r="F22" t="s">
        <v>178</v>
      </c>
      <c r="G22" t="s">
        <v>179</v>
      </c>
      <c r="H22" t="s">
        <v>179</v>
      </c>
      <c r="I22" t="s">
        <v>4</v>
      </c>
      <c r="J22">
        <v>23</v>
      </c>
    </row>
    <row r="23" spans="6:10" x14ac:dyDescent="0.25">
      <c r="F23" t="s">
        <v>176</v>
      </c>
      <c r="G23" t="s">
        <v>330</v>
      </c>
      <c r="H23" t="s">
        <v>177</v>
      </c>
      <c r="I23" t="s">
        <v>46</v>
      </c>
      <c r="J23">
        <v>21</v>
      </c>
    </row>
    <row r="24" spans="6:10" x14ac:dyDescent="0.25">
      <c r="F24" t="s">
        <v>174</v>
      </c>
      <c r="G24" t="s">
        <v>331</v>
      </c>
      <c r="H24" t="s">
        <v>175</v>
      </c>
      <c r="I24" t="s">
        <v>10</v>
      </c>
      <c r="J24">
        <v>17</v>
      </c>
    </row>
    <row r="25" spans="6:10" x14ac:dyDescent="0.25">
      <c r="F25" t="s">
        <v>170</v>
      </c>
      <c r="G25" t="s">
        <v>332</v>
      </c>
      <c r="H25" t="s">
        <v>171</v>
      </c>
      <c r="I25" t="s">
        <v>40</v>
      </c>
      <c r="J25">
        <v>10</v>
      </c>
    </row>
    <row r="26" spans="6:10" x14ac:dyDescent="0.25">
      <c r="F26" t="s">
        <v>170</v>
      </c>
      <c r="G26" t="s">
        <v>333</v>
      </c>
      <c r="H26" t="s">
        <v>172</v>
      </c>
      <c r="I26" t="s">
        <v>16</v>
      </c>
      <c r="J26">
        <v>10</v>
      </c>
    </row>
    <row r="27" spans="6:10" x14ac:dyDescent="0.25">
      <c r="F27" t="s">
        <v>170</v>
      </c>
      <c r="G27" t="s">
        <v>334</v>
      </c>
      <c r="H27" t="s">
        <v>173</v>
      </c>
      <c r="I27" t="s">
        <v>121</v>
      </c>
      <c r="J27">
        <v>10</v>
      </c>
    </row>
    <row r="28" spans="6:10" x14ac:dyDescent="0.25">
      <c r="F28" t="s">
        <v>168</v>
      </c>
      <c r="G28" t="s">
        <v>335</v>
      </c>
      <c r="H28" t="s">
        <v>169</v>
      </c>
      <c r="I28" t="s">
        <v>16</v>
      </c>
      <c r="J28">
        <v>21</v>
      </c>
    </row>
    <row r="29" spans="6:10" x14ac:dyDescent="0.25">
      <c r="F29" t="s">
        <v>165</v>
      </c>
      <c r="G29" t="s">
        <v>336</v>
      </c>
      <c r="H29" t="s">
        <v>166</v>
      </c>
      <c r="I29" t="s">
        <v>16</v>
      </c>
      <c r="J29">
        <v>6</v>
      </c>
    </row>
    <row r="30" spans="6:10" x14ac:dyDescent="0.25">
      <c r="F30" t="s">
        <v>165</v>
      </c>
      <c r="G30" t="s">
        <v>167</v>
      </c>
      <c r="H30" t="s">
        <v>167</v>
      </c>
      <c r="I30" t="s">
        <v>87</v>
      </c>
      <c r="J30">
        <v>6</v>
      </c>
    </row>
  </sheetData>
  <sortState xmlns:xlrd2="http://schemas.microsoft.com/office/spreadsheetml/2017/richdata2" ref="F16:J30">
    <sortCondition descending="1" ref="F16:F3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9AA4D-8C60-46BF-AB6C-23B8DE8D6C04}">
  <dimension ref="D11:H24"/>
  <sheetViews>
    <sheetView workbookViewId="0">
      <selection activeCell="G14" sqref="G14:H24"/>
    </sheetView>
  </sheetViews>
  <sheetFormatPr defaultRowHeight="15" x14ac:dyDescent="0.25"/>
  <sheetData>
    <row r="11" spans="4:8" x14ac:dyDescent="0.25">
      <c r="D11" t="s">
        <v>60</v>
      </c>
    </row>
    <row r="14" spans="4:8" x14ac:dyDescent="0.25">
      <c r="D14" t="s">
        <v>61</v>
      </c>
      <c r="E14" t="s">
        <v>1</v>
      </c>
      <c r="F14" t="s">
        <v>0</v>
      </c>
      <c r="G14" t="s">
        <v>0</v>
      </c>
      <c r="H14" t="s">
        <v>314</v>
      </c>
    </row>
    <row r="15" spans="4:8" x14ac:dyDescent="0.25">
      <c r="D15">
        <v>1</v>
      </c>
      <c r="E15" t="s">
        <v>9</v>
      </c>
      <c r="F15" t="s">
        <v>8</v>
      </c>
      <c r="G15" t="s">
        <v>288</v>
      </c>
      <c r="H15">
        <v>8</v>
      </c>
    </row>
    <row r="16" spans="4:8" x14ac:dyDescent="0.25">
      <c r="D16">
        <v>2</v>
      </c>
      <c r="E16" t="s">
        <v>4</v>
      </c>
      <c r="F16" t="s">
        <v>3</v>
      </c>
      <c r="G16" t="s">
        <v>315</v>
      </c>
      <c r="H16">
        <v>8</v>
      </c>
    </row>
    <row r="17" spans="4:8" x14ac:dyDescent="0.25">
      <c r="D17">
        <v>3</v>
      </c>
      <c r="E17" t="s">
        <v>62</v>
      </c>
      <c r="F17" t="s">
        <v>63</v>
      </c>
      <c r="G17" t="s">
        <v>316</v>
      </c>
      <c r="H17">
        <v>7</v>
      </c>
    </row>
    <row r="18" spans="4:8" x14ac:dyDescent="0.25">
      <c r="D18">
        <v>4</v>
      </c>
      <c r="E18" t="s">
        <v>46</v>
      </c>
      <c r="F18" t="s">
        <v>64</v>
      </c>
      <c r="G18" t="s">
        <v>317</v>
      </c>
      <c r="H18">
        <v>6</v>
      </c>
    </row>
    <row r="19" spans="4:8" x14ac:dyDescent="0.25">
      <c r="D19">
        <v>5</v>
      </c>
      <c r="E19" t="s">
        <v>65</v>
      </c>
      <c r="F19" t="s">
        <v>66</v>
      </c>
      <c r="G19" t="s">
        <v>318</v>
      </c>
      <c r="H19">
        <v>6</v>
      </c>
    </row>
    <row r="20" spans="4:8" x14ac:dyDescent="0.25">
      <c r="D20">
        <v>6</v>
      </c>
      <c r="E20" t="s">
        <v>54</v>
      </c>
      <c r="F20" t="s">
        <v>67</v>
      </c>
      <c r="G20" t="s">
        <v>319</v>
      </c>
      <c r="H20">
        <v>5</v>
      </c>
    </row>
    <row r="21" spans="4:8" x14ac:dyDescent="0.25">
      <c r="D21">
        <v>7</v>
      </c>
      <c r="E21" t="s">
        <v>15</v>
      </c>
      <c r="F21" t="s">
        <v>14</v>
      </c>
      <c r="G21" t="s">
        <v>320</v>
      </c>
      <c r="H21">
        <v>5</v>
      </c>
    </row>
    <row r="22" spans="4:8" x14ac:dyDescent="0.25">
      <c r="D22">
        <v>8</v>
      </c>
      <c r="E22" t="s">
        <v>68</v>
      </c>
      <c r="F22" t="s">
        <v>69</v>
      </c>
      <c r="G22" t="s">
        <v>321</v>
      </c>
      <c r="H22">
        <v>5</v>
      </c>
    </row>
    <row r="23" spans="4:8" x14ac:dyDescent="0.25">
      <c r="D23">
        <v>9</v>
      </c>
      <c r="E23" t="s">
        <v>65</v>
      </c>
      <c r="F23" t="s">
        <v>70</v>
      </c>
      <c r="G23" t="s">
        <v>322</v>
      </c>
      <c r="H23">
        <v>5</v>
      </c>
    </row>
    <row r="24" spans="4:8" x14ac:dyDescent="0.25">
      <c r="D24">
        <v>10</v>
      </c>
      <c r="E24" t="s">
        <v>71</v>
      </c>
      <c r="F24" t="s">
        <v>72</v>
      </c>
      <c r="G24" t="s">
        <v>323</v>
      </c>
      <c r="H24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90E0-BCD7-47C9-8F6D-B8A505B3EA0F}">
  <dimension ref="A1:AJ43"/>
  <sheetViews>
    <sheetView zoomScale="55" zoomScaleNormal="55" workbookViewId="0">
      <selection activeCell="E13" sqref="E13"/>
    </sheetView>
  </sheetViews>
  <sheetFormatPr defaultColWidth="0" defaultRowHeight="15" zeroHeight="1" x14ac:dyDescent="0.25"/>
  <cols>
    <col min="1" max="1" width="9.140625" customWidth="1"/>
    <col min="2" max="2" width="18.42578125" bestFit="1" customWidth="1"/>
    <col min="3" max="4" width="28.5703125" customWidth="1"/>
    <col min="5" max="5" width="23.28515625" bestFit="1" customWidth="1"/>
    <col min="6" max="6" width="28.42578125" bestFit="1" customWidth="1"/>
    <col min="7" max="7" width="57.5703125" bestFit="1" customWidth="1"/>
    <col min="8" max="14" width="9.140625" customWidth="1"/>
    <col min="15" max="15" width="12.7109375" bestFit="1" customWidth="1"/>
    <col min="16" max="34" width="9.140625" customWidth="1"/>
    <col min="35" max="36" width="0" hidden="1" customWidth="1"/>
    <col min="37" max="16384" width="9.140625" hidden="1"/>
  </cols>
  <sheetData>
    <row r="1" spans="1:15" s="24" customFormat="1" ht="42" customHeight="1" x14ac:dyDescent="0.25">
      <c r="A1" s="24" t="s">
        <v>301</v>
      </c>
    </row>
    <row r="2" spans="1:15" s="24" customFormat="1" ht="42" customHeight="1" x14ac:dyDescent="0.25"/>
    <row r="3" spans="1:15" s="24" customFormat="1" ht="42" customHeight="1" x14ac:dyDescent="0.25"/>
    <row r="4" spans="1:15" s="24" customFormat="1" ht="42" customHeight="1" x14ac:dyDescent="0.25"/>
    <row r="5" spans="1:15" s="24" customFormat="1" ht="42" customHeight="1" x14ac:dyDescent="0.25"/>
    <row r="6" spans="1:15" x14ac:dyDescent="0.25"/>
    <row r="7" spans="1:15" x14ac:dyDescent="0.25"/>
    <row r="8" spans="1:15" x14ac:dyDescent="0.25"/>
    <row r="9" spans="1:15" x14ac:dyDescent="0.25"/>
    <row r="10" spans="1:15" x14ac:dyDescent="0.25"/>
    <row r="11" spans="1:15" x14ac:dyDescent="0.25"/>
    <row r="12" spans="1:15" ht="32.25" x14ac:dyDescent="0.25">
      <c r="B12" s="1" t="s">
        <v>300</v>
      </c>
      <c r="C12" s="2" t="s">
        <v>247</v>
      </c>
      <c r="D12" s="3" t="s">
        <v>302</v>
      </c>
      <c r="E12" s="1" t="s">
        <v>340</v>
      </c>
      <c r="F12" s="1" t="s">
        <v>298</v>
      </c>
      <c r="G12" s="19" t="s">
        <v>299</v>
      </c>
    </row>
    <row r="13" spans="1:15" ht="32.25" x14ac:dyDescent="0.25">
      <c r="B13" s="4">
        <v>1</v>
      </c>
      <c r="C13" s="12" t="s">
        <v>270</v>
      </c>
      <c r="D13" s="13" t="s">
        <v>284</v>
      </c>
      <c r="E13" s="13">
        <v>28</v>
      </c>
      <c r="F13" s="13">
        <v>13</v>
      </c>
      <c r="G13" s="16">
        <v>46.43</v>
      </c>
      <c r="O13" s="16">
        <v>46.43</v>
      </c>
    </row>
    <row r="14" spans="1:15" ht="32.25" x14ac:dyDescent="0.25">
      <c r="B14" s="4">
        <v>2</v>
      </c>
      <c r="C14" s="14" t="s">
        <v>271</v>
      </c>
      <c r="D14" s="5" t="s">
        <v>285</v>
      </c>
      <c r="E14" s="6">
        <v>26</v>
      </c>
      <c r="F14" s="6">
        <v>10</v>
      </c>
      <c r="G14" s="17">
        <v>38.46</v>
      </c>
      <c r="O14" s="17">
        <v>38.46</v>
      </c>
    </row>
    <row r="15" spans="1:15" ht="32.25" x14ac:dyDescent="0.25">
      <c r="B15" s="4">
        <v>3</v>
      </c>
      <c r="C15" s="14" t="s">
        <v>272</v>
      </c>
      <c r="D15" s="5" t="s">
        <v>286</v>
      </c>
      <c r="E15" s="6">
        <v>27</v>
      </c>
      <c r="F15" s="6">
        <v>10</v>
      </c>
      <c r="G15" s="17">
        <v>37.04</v>
      </c>
      <c r="O15" s="17">
        <v>37.04</v>
      </c>
    </row>
    <row r="16" spans="1:15" ht="32.25" x14ac:dyDescent="0.25">
      <c r="B16" s="4">
        <v>4</v>
      </c>
      <c r="C16" s="14" t="s">
        <v>273</v>
      </c>
      <c r="D16" s="5" t="s">
        <v>287</v>
      </c>
      <c r="E16" s="6">
        <v>22</v>
      </c>
      <c r="F16" s="6">
        <v>8</v>
      </c>
      <c r="G16" s="17">
        <v>36.36</v>
      </c>
      <c r="O16" s="17">
        <v>36.36</v>
      </c>
    </row>
    <row r="17" spans="2:15" ht="32.25" x14ac:dyDescent="0.25">
      <c r="B17" s="4">
        <v>5</v>
      </c>
      <c r="C17" s="14" t="s">
        <v>274</v>
      </c>
      <c r="D17" s="5" t="s">
        <v>288</v>
      </c>
      <c r="E17" s="6">
        <v>58</v>
      </c>
      <c r="F17" s="6">
        <v>20</v>
      </c>
      <c r="G17" s="17">
        <v>34.479999999999997</v>
      </c>
      <c r="O17" s="17">
        <v>34.479999999999997</v>
      </c>
    </row>
    <row r="18" spans="2:15" ht="32.25" x14ac:dyDescent="0.25">
      <c r="B18" s="4">
        <v>6</v>
      </c>
      <c r="C18" s="14" t="s">
        <v>275</v>
      </c>
      <c r="D18" s="5" t="s">
        <v>289</v>
      </c>
      <c r="E18" s="6">
        <v>21</v>
      </c>
      <c r="F18" s="6">
        <v>7</v>
      </c>
      <c r="G18" s="17">
        <v>33.33</v>
      </c>
      <c r="O18" s="17">
        <v>33.33</v>
      </c>
    </row>
    <row r="19" spans="2:15" ht="32.25" x14ac:dyDescent="0.25">
      <c r="B19" s="4">
        <v>7</v>
      </c>
      <c r="C19" s="14" t="s">
        <v>276</v>
      </c>
      <c r="D19" s="5" t="s">
        <v>290</v>
      </c>
      <c r="E19" s="6">
        <v>34</v>
      </c>
      <c r="F19" s="6">
        <v>11</v>
      </c>
      <c r="G19" s="17">
        <v>32.35</v>
      </c>
      <c r="O19" s="17">
        <v>32.35</v>
      </c>
    </row>
    <row r="20" spans="2:15" ht="32.25" x14ac:dyDescent="0.25">
      <c r="B20" s="4">
        <v>8</v>
      </c>
      <c r="C20" s="14" t="s">
        <v>277</v>
      </c>
      <c r="D20" s="5" t="s">
        <v>291</v>
      </c>
      <c r="E20" s="6">
        <v>26</v>
      </c>
      <c r="F20" s="6">
        <v>8</v>
      </c>
      <c r="G20" s="17">
        <v>30.77</v>
      </c>
      <c r="O20" s="17">
        <v>30.77</v>
      </c>
    </row>
    <row r="21" spans="2:15" ht="32.25" x14ac:dyDescent="0.25">
      <c r="B21" s="4">
        <v>9</v>
      </c>
      <c r="C21" s="14" t="s">
        <v>278</v>
      </c>
      <c r="D21" s="5" t="s">
        <v>292</v>
      </c>
      <c r="E21" s="6">
        <v>24</v>
      </c>
      <c r="F21" s="6">
        <v>7</v>
      </c>
      <c r="G21" s="17">
        <v>29.63</v>
      </c>
      <c r="O21" s="17">
        <v>29.63</v>
      </c>
    </row>
    <row r="22" spans="2:15" ht="32.25" x14ac:dyDescent="0.25">
      <c r="B22" s="4">
        <v>10</v>
      </c>
      <c r="C22" s="14" t="s">
        <v>279</v>
      </c>
      <c r="D22" s="5" t="s">
        <v>293</v>
      </c>
      <c r="E22" s="6">
        <v>27</v>
      </c>
      <c r="F22" s="6">
        <v>8</v>
      </c>
      <c r="G22" s="17">
        <v>29.17</v>
      </c>
      <c r="O22" s="17">
        <v>29.17</v>
      </c>
    </row>
    <row r="23" spans="2:15" ht="32.25" x14ac:dyDescent="0.25">
      <c r="B23" s="4">
        <v>11</v>
      </c>
      <c r="C23" s="14" t="s">
        <v>280</v>
      </c>
      <c r="D23" s="6" t="s">
        <v>294</v>
      </c>
      <c r="E23" s="6">
        <v>25</v>
      </c>
      <c r="F23" s="6">
        <v>7</v>
      </c>
      <c r="G23" s="17">
        <v>28</v>
      </c>
      <c r="O23" s="17">
        <v>28</v>
      </c>
    </row>
    <row r="24" spans="2:15" ht="32.25" x14ac:dyDescent="0.25">
      <c r="B24" s="4">
        <v>12</v>
      </c>
      <c r="C24" s="14" t="s">
        <v>281</v>
      </c>
      <c r="D24" s="5" t="s">
        <v>295</v>
      </c>
      <c r="E24" s="6">
        <v>38</v>
      </c>
      <c r="F24" s="6">
        <v>10</v>
      </c>
      <c r="G24" s="17">
        <v>26.32</v>
      </c>
      <c r="O24" s="17">
        <v>26.32</v>
      </c>
    </row>
    <row r="25" spans="2:15" ht="32.25" x14ac:dyDescent="0.25">
      <c r="B25" s="4">
        <v>13</v>
      </c>
      <c r="C25" s="14" t="s">
        <v>282</v>
      </c>
      <c r="D25" s="5" t="s">
        <v>296</v>
      </c>
      <c r="E25" s="6">
        <v>55</v>
      </c>
      <c r="F25" s="6">
        <v>14</v>
      </c>
      <c r="G25" s="17">
        <v>25.81</v>
      </c>
      <c r="O25" s="17">
        <v>25.81</v>
      </c>
    </row>
    <row r="26" spans="2:15" ht="32.25" x14ac:dyDescent="0.25">
      <c r="B26" s="4">
        <v>14</v>
      </c>
      <c r="C26" s="14" t="s">
        <v>17</v>
      </c>
      <c r="D26" s="5" t="s">
        <v>17</v>
      </c>
      <c r="E26" s="6">
        <v>31</v>
      </c>
      <c r="F26" s="6">
        <v>8</v>
      </c>
      <c r="G26" s="17">
        <v>25.45</v>
      </c>
      <c r="O26" s="17">
        <v>25.45</v>
      </c>
    </row>
    <row r="27" spans="2:15" ht="32.25" x14ac:dyDescent="0.25">
      <c r="B27" s="8">
        <v>15</v>
      </c>
      <c r="C27" s="15" t="s">
        <v>283</v>
      </c>
      <c r="D27" s="9" t="s">
        <v>297</v>
      </c>
      <c r="E27" s="10">
        <v>29</v>
      </c>
      <c r="F27" s="10">
        <v>7</v>
      </c>
      <c r="G27" s="18">
        <v>24.14</v>
      </c>
      <c r="O27" s="18">
        <v>24.14</v>
      </c>
    </row>
    <row r="28" spans="2:15" x14ac:dyDescent="0.25"/>
    <row r="29" spans="2:15" x14ac:dyDescent="0.25"/>
    <row r="30" spans="2:15" x14ac:dyDescent="0.25"/>
    <row r="31" spans="2:15" x14ac:dyDescent="0.25"/>
    <row r="32" spans="2:15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s="21" customFormat="1" x14ac:dyDescent="0.25">
      <c r="A40" s="20"/>
    </row>
    <row r="41" spans="1:1" s="21" customFormat="1" x14ac:dyDescent="0.25"/>
    <row r="42" spans="1:1" x14ac:dyDescent="0.25"/>
    <row r="43" spans="1:1" x14ac:dyDescent="0.25"/>
  </sheetData>
  <mergeCells count="2">
    <mergeCell ref="A40:XFD41"/>
    <mergeCell ref="A1:XF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AB5E-582E-4931-90C4-A7B3C0EE8925}">
  <dimension ref="E8:I17"/>
  <sheetViews>
    <sheetView workbookViewId="0">
      <selection activeCell="F20" sqref="F20"/>
    </sheetView>
  </sheetViews>
  <sheetFormatPr defaultRowHeight="15" x14ac:dyDescent="0.25"/>
  <sheetData>
    <row r="8" spans="5:9" x14ac:dyDescent="0.25">
      <c r="E8" t="s">
        <v>19</v>
      </c>
    </row>
    <row r="11" spans="5:9" x14ac:dyDescent="0.25">
      <c r="F11" t="s">
        <v>337</v>
      </c>
      <c r="G11" t="s">
        <v>338</v>
      </c>
      <c r="H11" t="s">
        <v>339</v>
      </c>
      <c r="I11" t="s">
        <v>21</v>
      </c>
    </row>
    <row r="12" spans="5:9" x14ac:dyDescent="0.25">
      <c r="E12" t="str">
        <f t="shared" ref="E12:E16" si="0">LEFT(F12,4)&amp;"s"</f>
        <v>2020s</v>
      </c>
      <c r="F12" t="s">
        <v>27</v>
      </c>
      <c r="G12">
        <v>13984</v>
      </c>
      <c r="H12">
        <v>26644</v>
      </c>
      <c r="I12">
        <v>-47</v>
      </c>
    </row>
    <row r="13" spans="5:9" x14ac:dyDescent="0.25">
      <c r="E13" t="str">
        <f t="shared" si="0"/>
        <v>2010s</v>
      </c>
      <c r="F13" t="s">
        <v>26</v>
      </c>
      <c r="G13">
        <v>26644</v>
      </c>
      <c r="H13">
        <v>24212</v>
      </c>
      <c r="I13">
        <v>10</v>
      </c>
    </row>
    <row r="14" spans="5:9" x14ac:dyDescent="0.25">
      <c r="E14" t="str">
        <f t="shared" si="0"/>
        <v>2000s</v>
      </c>
      <c r="F14" t="s">
        <v>25</v>
      </c>
      <c r="G14">
        <v>24212</v>
      </c>
      <c r="H14">
        <v>17088</v>
      </c>
      <c r="I14">
        <v>41</v>
      </c>
    </row>
    <row r="15" spans="5:9" x14ac:dyDescent="0.25">
      <c r="E15" t="str">
        <f t="shared" si="0"/>
        <v>1990s</v>
      </c>
      <c r="F15" t="s">
        <v>24</v>
      </c>
      <c r="G15">
        <v>17088</v>
      </c>
      <c r="H15">
        <v>11231</v>
      </c>
      <c r="I15">
        <v>52</v>
      </c>
    </row>
    <row r="16" spans="5:9" x14ac:dyDescent="0.25">
      <c r="E16" t="str">
        <f t="shared" si="0"/>
        <v>1980s</v>
      </c>
      <c r="F16" t="s">
        <v>23</v>
      </c>
      <c r="G16">
        <v>11231</v>
      </c>
      <c r="H16">
        <v>10934</v>
      </c>
      <c r="I16">
        <v>2</v>
      </c>
    </row>
    <row r="17" spans="5:7" x14ac:dyDescent="0.25">
      <c r="E17" t="str">
        <f>LEFT(F17,4)&amp;"s"</f>
        <v>1970s</v>
      </c>
      <c r="F17" t="s">
        <v>22</v>
      </c>
      <c r="G17">
        <v>10934</v>
      </c>
    </row>
  </sheetData>
  <sortState xmlns:xlrd2="http://schemas.microsoft.com/office/spreadsheetml/2017/richdata2" ref="F12:I17">
    <sortCondition descending="1" ref="F11:F1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9615-0346-4103-86DA-934D48E25673}">
  <dimension ref="E13:S27"/>
  <sheetViews>
    <sheetView workbookViewId="0">
      <selection activeCell="R17" sqref="R17:S27"/>
    </sheetView>
  </sheetViews>
  <sheetFormatPr defaultRowHeight="15" x14ac:dyDescent="0.25"/>
  <sheetData>
    <row r="13" spans="5:18" x14ac:dyDescent="0.25">
      <c r="E13" t="s">
        <v>39</v>
      </c>
      <c r="K13" t="s">
        <v>48</v>
      </c>
      <c r="R13" t="s">
        <v>58</v>
      </c>
    </row>
    <row r="17" spans="5:19" x14ac:dyDescent="0.25">
      <c r="E17" t="s">
        <v>249</v>
      </c>
      <c r="F17" t="s">
        <v>341</v>
      </c>
      <c r="K17" t="s">
        <v>249</v>
      </c>
      <c r="L17" t="s">
        <v>342</v>
      </c>
      <c r="R17" t="s">
        <v>249</v>
      </c>
      <c r="S17" t="s">
        <v>343</v>
      </c>
    </row>
    <row r="18" spans="5:19" x14ac:dyDescent="0.25">
      <c r="E18" t="s">
        <v>40</v>
      </c>
      <c r="F18">
        <v>21</v>
      </c>
      <c r="K18" t="s">
        <v>49</v>
      </c>
      <c r="L18">
        <v>20</v>
      </c>
      <c r="R18" t="s">
        <v>42</v>
      </c>
      <c r="S18">
        <v>15</v>
      </c>
    </row>
    <row r="19" spans="5:19" x14ac:dyDescent="0.25">
      <c r="E19" t="s">
        <v>41</v>
      </c>
      <c r="F19">
        <v>15</v>
      </c>
      <c r="K19" t="s">
        <v>50</v>
      </c>
      <c r="L19">
        <v>12</v>
      </c>
      <c r="R19" t="s">
        <v>54</v>
      </c>
      <c r="S19">
        <v>11</v>
      </c>
    </row>
    <row r="20" spans="5:19" x14ac:dyDescent="0.25">
      <c r="E20" t="s">
        <v>42</v>
      </c>
      <c r="F20">
        <v>14</v>
      </c>
      <c r="K20" t="s">
        <v>51</v>
      </c>
      <c r="L20">
        <v>12</v>
      </c>
      <c r="R20" t="s">
        <v>9</v>
      </c>
      <c r="S20">
        <v>8</v>
      </c>
    </row>
    <row r="21" spans="5:19" x14ac:dyDescent="0.25">
      <c r="E21" t="s">
        <v>13</v>
      </c>
      <c r="F21">
        <v>13</v>
      </c>
      <c r="K21" t="s">
        <v>52</v>
      </c>
      <c r="L21">
        <v>12</v>
      </c>
      <c r="R21" t="s">
        <v>44</v>
      </c>
      <c r="S21">
        <v>8</v>
      </c>
    </row>
    <row r="22" spans="5:19" x14ac:dyDescent="0.25">
      <c r="E22" t="s">
        <v>9</v>
      </c>
      <c r="F22">
        <v>12</v>
      </c>
      <c r="K22" t="s">
        <v>53</v>
      </c>
      <c r="L22">
        <v>11</v>
      </c>
      <c r="R22" t="s">
        <v>53</v>
      </c>
      <c r="S22">
        <v>8</v>
      </c>
    </row>
    <row r="23" spans="5:19" x14ac:dyDescent="0.25">
      <c r="E23" t="s">
        <v>43</v>
      </c>
      <c r="F23">
        <v>10</v>
      </c>
      <c r="K23" t="s">
        <v>54</v>
      </c>
      <c r="L23">
        <v>11</v>
      </c>
      <c r="R23" t="s">
        <v>65</v>
      </c>
      <c r="S23">
        <v>8</v>
      </c>
    </row>
    <row r="24" spans="5:19" x14ac:dyDescent="0.25">
      <c r="E24" t="s">
        <v>44</v>
      </c>
      <c r="F24">
        <v>10</v>
      </c>
      <c r="K24" t="s">
        <v>55</v>
      </c>
      <c r="L24">
        <v>10</v>
      </c>
      <c r="R24" t="s">
        <v>49</v>
      </c>
      <c r="S24">
        <v>8</v>
      </c>
    </row>
    <row r="25" spans="5:19" x14ac:dyDescent="0.25">
      <c r="E25" t="s">
        <v>45</v>
      </c>
      <c r="F25">
        <v>10</v>
      </c>
      <c r="K25" t="s">
        <v>56</v>
      </c>
      <c r="L25">
        <v>10</v>
      </c>
      <c r="R25" t="s">
        <v>13</v>
      </c>
      <c r="S25">
        <v>7</v>
      </c>
    </row>
    <row r="26" spans="5:19" x14ac:dyDescent="0.25">
      <c r="E26" t="s">
        <v>46</v>
      </c>
      <c r="F26">
        <v>9</v>
      </c>
      <c r="K26" t="s">
        <v>57</v>
      </c>
      <c r="L26">
        <v>10</v>
      </c>
      <c r="R26" t="s">
        <v>77</v>
      </c>
      <c r="S26">
        <v>6</v>
      </c>
    </row>
    <row r="27" spans="5:19" x14ac:dyDescent="0.25">
      <c r="E27" t="s">
        <v>47</v>
      </c>
      <c r="F27">
        <v>9</v>
      </c>
      <c r="K27" t="s">
        <v>41</v>
      </c>
      <c r="L27">
        <v>9</v>
      </c>
      <c r="R27" t="s">
        <v>100</v>
      </c>
      <c r="S27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E4D0-E921-47DA-9106-99BD60C3C0DF}">
  <dimension ref="F14:G32"/>
  <sheetViews>
    <sheetView workbookViewId="0">
      <selection activeCell="G18" sqref="G18"/>
    </sheetView>
  </sheetViews>
  <sheetFormatPr defaultRowHeight="15" x14ac:dyDescent="0.25"/>
  <sheetData>
    <row r="14" spans="6:6" x14ac:dyDescent="0.25">
      <c r="F14" t="s">
        <v>59</v>
      </c>
    </row>
    <row r="17" spans="6:7" x14ac:dyDescent="0.25">
      <c r="F17" t="s">
        <v>73</v>
      </c>
      <c r="G17" t="s">
        <v>324</v>
      </c>
    </row>
    <row r="18" spans="6:7" x14ac:dyDescent="0.25">
      <c r="F18" t="s">
        <v>74</v>
      </c>
      <c r="G18">
        <v>2.0699999999999998</v>
      </c>
    </row>
    <row r="19" spans="6:7" x14ac:dyDescent="0.25">
      <c r="F19" t="s">
        <v>9</v>
      </c>
      <c r="G19">
        <v>2.02</v>
      </c>
    </row>
    <row r="20" spans="6:7" x14ac:dyDescent="0.25">
      <c r="F20" t="s">
        <v>7</v>
      </c>
      <c r="G20">
        <v>2.02</v>
      </c>
    </row>
    <row r="21" spans="6:7" x14ac:dyDescent="0.25">
      <c r="F21" t="s">
        <v>44</v>
      </c>
      <c r="G21">
        <v>1.92</v>
      </c>
    </row>
    <row r="22" spans="6:7" x14ac:dyDescent="0.25">
      <c r="F22" t="s">
        <v>12</v>
      </c>
      <c r="G22">
        <v>1.88</v>
      </c>
    </row>
    <row r="23" spans="6:7" x14ac:dyDescent="0.25">
      <c r="F23" t="s">
        <v>4</v>
      </c>
      <c r="G23">
        <v>1.86</v>
      </c>
    </row>
    <row r="24" spans="6:7" x14ac:dyDescent="0.25">
      <c r="F24" t="s">
        <v>75</v>
      </c>
      <c r="G24">
        <v>1.85</v>
      </c>
    </row>
    <row r="25" spans="6:7" x14ac:dyDescent="0.25">
      <c r="F25" t="s">
        <v>76</v>
      </c>
      <c r="G25">
        <v>1.81</v>
      </c>
    </row>
    <row r="26" spans="6:7" x14ac:dyDescent="0.25">
      <c r="F26" t="s">
        <v>77</v>
      </c>
      <c r="G26">
        <v>1.76</v>
      </c>
    </row>
    <row r="27" spans="6:7" x14ac:dyDescent="0.25">
      <c r="F27" t="s">
        <v>78</v>
      </c>
      <c r="G27">
        <v>1.75</v>
      </c>
    </row>
    <row r="28" spans="6:7" x14ac:dyDescent="0.25">
      <c r="F28" t="s">
        <v>79</v>
      </c>
      <c r="G28">
        <v>1.73</v>
      </c>
    </row>
    <row r="29" spans="6:7" x14ac:dyDescent="0.25">
      <c r="F29" t="s">
        <v>10</v>
      </c>
      <c r="G29">
        <v>1.73</v>
      </c>
    </row>
    <row r="30" spans="6:7" x14ac:dyDescent="0.25">
      <c r="F30" t="s">
        <v>13</v>
      </c>
      <c r="G30">
        <v>1.71</v>
      </c>
    </row>
    <row r="31" spans="6:7" x14ac:dyDescent="0.25">
      <c r="F31" t="s">
        <v>80</v>
      </c>
      <c r="G31">
        <v>1.66</v>
      </c>
    </row>
    <row r="32" spans="6:7" x14ac:dyDescent="0.25">
      <c r="F32" t="s">
        <v>81</v>
      </c>
      <c r="G32">
        <v>1.66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8863-2459-444D-B63B-224360671215}">
  <dimension ref="F6:J11"/>
  <sheetViews>
    <sheetView workbookViewId="0">
      <selection activeCell="F9" sqref="F9:J11"/>
    </sheetView>
  </sheetViews>
  <sheetFormatPr defaultRowHeight="15" x14ac:dyDescent="0.25"/>
  <sheetData>
    <row r="6" spans="6:10" x14ac:dyDescent="0.25">
      <c r="F6" t="s">
        <v>82</v>
      </c>
    </row>
    <row r="9" spans="6:10" x14ac:dyDescent="0.25">
      <c r="F9" t="s">
        <v>83</v>
      </c>
      <c r="G9" t="s">
        <v>84</v>
      </c>
      <c r="H9" t="s">
        <v>85</v>
      </c>
      <c r="I9" t="s">
        <v>86</v>
      </c>
      <c r="J9" t="s">
        <v>2</v>
      </c>
    </row>
    <row r="10" spans="6:10" x14ac:dyDescent="0.25">
      <c r="F10" t="s">
        <v>10</v>
      </c>
      <c r="G10">
        <v>41</v>
      </c>
      <c r="H10">
        <v>43</v>
      </c>
      <c r="I10">
        <v>26</v>
      </c>
      <c r="J10">
        <v>164</v>
      </c>
    </row>
    <row r="11" spans="6:10" x14ac:dyDescent="0.25">
      <c r="F11" t="s">
        <v>87</v>
      </c>
      <c r="G11">
        <v>43</v>
      </c>
      <c r="H11">
        <v>41</v>
      </c>
      <c r="I11">
        <v>26</v>
      </c>
      <c r="J11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2CA7-EA61-47C3-B4E3-EF31AF9DB21D}">
  <sheetPr filterMode="1"/>
  <dimension ref="F10:H115"/>
  <sheetViews>
    <sheetView topLeftCell="A9" workbookViewId="0">
      <selection activeCell="F16" sqref="F16"/>
    </sheetView>
  </sheetViews>
  <sheetFormatPr defaultRowHeight="15" x14ac:dyDescent="0.25"/>
  <sheetData>
    <row r="10" spans="6:8" x14ac:dyDescent="0.25">
      <c r="F10" t="s">
        <v>156</v>
      </c>
      <c r="G10" t="s">
        <v>157</v>
      </c>
      <c r="H10" t="s">
        <v>158</v>
      </c>
    </row>
    <row r="15" spans="6:8" x14ac:dyDescent="0.25">
      <c r="F15" t="s">
        <v>88</v>
      </c>
      <c r="G15" t="s">
        <v>249</v>
      </c>
      <c r="H15" t="s">
        <v>325</v>
      </c>
    </row>
    <row r="16" spans="6:8" x14ac:dyDescent="0.25">
      <c r="F16">
        <v>1</v>
      </c>
      <c r="G16" t="s">
        <v>87</v>
      </c>
      <c r="H16">
        <v>2216</v>
      </c>
    </row>
    <row r="17" spans="6:8" x14ac:dyDescent="0.25">
      <c r="F17">
        <v>2</v>
      </c>
      <c r="G17" t="s">
        <v>9</v>
      </c>
      <c r="H17">
        <v>2114</v>
      </c>
    </row>
    <row r="18" spans="6:8" x14ac:dyDescent="0.25">
      <c r="F18">
        <v>3</v>
      </c>
      <c r="G18" t="s">
        <v>10</v>
      </c>
      <c r="H18">
        <v>2006</v>
      </c>
    </row>
    <row r="19" spans="6:8" x14ac:dyDescent="0.25">
      <c r="F19">
        <v>4</v>
      </c>
      <c r="G19" t="s">
        <v>13</v>
      </c>
      <c r="H19">
        <v>1986</v>
      </c>
    </row>
    <row r="20" spans="6:8" x14ac:dyDescent="0.25">
      <c r="F20">
        <v>5</v>
      </c>
      <c r="G20" t="s">
        <v>89</v>
      </c>
      <c r="H20">
        <v>1851</v>
      </c>
    </row>
    <row r="21" spans="6:8" x14ac:dyDescent="0.25">
      <c r="F21">
        <v>6</v>
      </c>
      <c r="G21" t="s">
        <v>41</v>
      </c>
      <c r="H21">
        <v>1848</v>
      </c>
    </row>
    <row r="22" spans="6:8" x14ac:dyDescent="0.25">
      <c r="F22">
        <v>7</v>
      </c>
      <c r="G22" t="s">
        <v>90</v>
      </c>
      <c r="H22">
        <v>1754</v>
      </c>
    </row>
    <row r="23" spans="6:8" x14ac:dyDescent="0.25">
      <c r="F23">
        <v>8</v>
      </c>
      <c r="G23" t="s">
        <v>65</v>
      </c>
      <c r="H23">
        <v>1655</v>
      </c>
    </row>
    <row r="24" spans="6:8" x14ac:dyDescent="0.25">
      <c r="F24">
        <v>9</v>
      </c>
      <c r="G24" t="s">
        <v>40</v>
      </c>
      <c r="H24">
        <v>1621</v>
      </c>
    </row>
    <row r="25" spans="6:8" x14ac:dyDescent="0.25">
      <c r="F25">
        <v>10</v>
      </c>
      <c r="G25" t="s">
        <v>46</v>
      </c>
      <c r="H25">
        <v>1607</v>
      </c>
    </row>
    <row r="26" spans="6:8" x14ac:dyDescent="0.25">
      <c r="F26">
        <v>11</v>
      </c>
      <c r="G26" t="s">
        <v>75</v>
      </c>
      <c r="H26">
        <v>1547</v>
      </c>
    </row>
    <row r="27" spans="6:8" x14ac:dyDescent="0.25">
      <c r="F27">
        <v>12</v>
      </c>
      <c r="G27" t="s">
        <v>44</v>
      </c>
      <c r="H27">
        <v>1540</v>
      </c>
    </row>
    <row r="28" spans="6:8" x14ac:dyDescent="0.25">
      <c r="F28">
        <v>13</v>
      </c>
      <c r="G28" t="s">
        <v>16</v>
      </c>
      <c r="H28">
        <v>1505</v>
      </c>
    </row>
    <row r="29" spans="6:8" x14ac:dyDescent="0.25">
      <c r="F29">
        <v>14</v>
      </c>
      <c r="G29" t="s">
        <v>45</v>
      </c>
      <c r="H29">
        <v>1376</v>
      </c>
    </row>
    <row r="30" spans="6:8" x14ac:dyDescent="0.25">
      <c r="F30">
        <v>15</v>
      </c>
      <c r="G30" t="s">
        <v>91</v>
      </c>
      <c r="H30">
        <v>1373</v>
      </c>
    </row>
    <row r="31" spans="6:8" x14ac:dyDescent="0.25">
      <c r="F31">
        <v>16</v>
      </c>
      <c r="G31" t="s">
        <v>6</v>
      </c>
      <c r="H31">
        <v>1363</v>
      </c>
    </row>
    <row r="32" spans="6:8" x14ac:dyDescent="0.25">
      <c r="F32">
        <v>17</v>
      </c>
      <c r="G32" t="s">
        <v>77</v>
      </c>
      <c r="H32">
        <v>1335</v>
      </c>
    </row>
    <row r="33" spans="6:8" x14ac:dyDescent="0.25">
      <c r="F33">
        <v>18</v>
      </c>
      <c r="G33" t="s">
        <v>78</v>
      </c>
      <c r="H33">
        <v>1316</v>
      </c>
    </row>
    <row r="34" spans="6:8" x14ac:dyDescent="0.25">
      <c r="F34">
        <v>19</v>
      </c>
      <c r="G34" t="s">
        <v>7</v>
      </c>
      <c r="H34">
        <v>1309</v>
      </c>
    </row>
    <row r="35" spans="6:8" x14ac:dyDescent="0.25">
      <c r="F35">
        <v>20</v>
      </c>
      <c r="G35" t="s">
        <v>92</v>
      </c>
      <c r="H35">
        <v>1290</v>
      </c>
    </row>
    <row r="36" spans="6:8" hidden="1" x14ac:dyDescent="0.25">
      <c r="F36">
        <v>21</v>
      </c>
      <c r="G36" t="s">
        <v>93</v>
      </c>
      <c r="H36">
        <v>1269</v>
      </c>
    </row>
    <row r="37" spans="6:8" hidden="1" x14ac:dyDescent="0.25">
      <c r="F37">
        <v>22</v>
      </c>
      <c r="G37" t="s">
        <v>94</v>
      </c>
      <c r="H37">
        <v>1266</v>
      </c>
    </row>
    <row r="38" spans="6:8" hidden="1" x14ac:dyDescent="0.25">
      <c r="F38">
        <v>23</v>
      </c>
      <c r="G38" t="s">
        <v>95</v>
      </c>
      <c r="H38">
        <v>1209</v>
      </c>
    </row>
    <row r="39" spans="6:8" hidden="1" x14ac:dyDescent="0.25">
      <c r="F39">
        <v>24</v>
      </c>
      <c r="G39" t="s">
        <v>96</v>
      </c>
      <c r="H39">
        <v>1203</v>
      </c>
    </row>
    <row r="40" spans="6:8" hidden="1" x14ac:dyDescent="0.25">
      <c r="F40">
        <v>25</v>
      </c>
      <c r="G40" t="s">
        <v>97</v>
      </c>
      <c r="H40">
        <v>1201</v>
      </c>
    </row>
    <row r="41" spans="6:8" hidden="1" x14ac:dyDescent="0.25">
      <c r="F41">
        <v>26</v>
      </c>
      <c r="G41" t="s">
        <v>4</v>
      </c>
      <c r="H41">
        <v>1189</v>
      </c>
    </row>
    <row r="42" spans="6:8" hidden="1" x14ac:dyDescent="0.25">
      <c r="F42">
        <v>27</v>
      </c>
      <c r="G42" t="s">
        <v>42</v>
      </c>
      <c r="H42">
        <v>1184</v>
      </c>
    </row>
    <row r="43" spans="6:8" hidden="1" x14ac:dyDescent="0.25">
      <c r="F43">
        <v>28</v>
      </c>
      <c r="G43" t="s">
        <v>12</v>
      </c>
      <c r="H43">
        <v>1177</v>
      </c>
    </row>
    <row r="44" spans="6:8" hidden="1" x14ac:dyDescent="0.25">
      <c r="F44">
        <v>29</v>
      </c>
      <c r="G44" t="s">
        <v>52</v>
      </c>
      <c r="H44">
        <v>1165</v>
      </c>
    </row>
    <row r="45" spans="6:8" hidden="1" x14ac:dyDescent="0.25">
      <c r="F45">
        <v>30</v>
      </c>
      <c r="G45" t="s">
        <v>98</v>
      </c>
      <c r="H45">
        <v>1164</v>
      </c>
    </row>
    <row r="46" spans="6:8" hidden="1" x14ac:dyDescent="0.25">
      <c r="F46">
        <v>31</v>
      </c>
      <c r="G46" t="s">
        <v>99</v>
      </c>
      <c r="H46">
        <v>1163</v>
      </c>
    </row>
    <row r="47" spans="6:8" hidden="1" x14ac:dyDescent="0.25">
      <c r="F47">
        <v>32</v>
      </c>
      <c r="G47" t="s">
        <v>100</v>
      </c>
      <c r="H47">
        <v>1138</v>
      </c>
    </row>
    <row r="48" spans="6:8" hidden="1" x14ac:dyDescent="0.25">
      <c r="F48">
        <v>33</v>
      </c>
      <c r="G48" t="s">
        <v>101</v>
      </c>
      <c r="H48">
        <v>1116</v>
      </c>
    </row>
    <row r="49" spans="6:8" hidden="1" x14ac:dyDescent="0.25">
      <c r="F49">
        <v>34</v>
      </c>
      <c r="G49" t="s">
        <v>102</v>
      </c>
      <c r="H49">
        <v>1112</v>
      </c>
    </row>
    <row r="50" spans="6:8" hidden="1" x14ac:dyDescent="0.25">
      <c r="F50">
        <v>35</v>
      </c>
      <c r="G50" t="s">
        <v>103</v>
      </c>
      <c r="H50">
        <v>1109</v>
      </c>
    </row>
    <row r="51" spans="6:8" hidden="1" x14ac:dyDescent="0.25">
      <c r="F51">
        <v>36</v>
      </c>
      <c r="G51" t="s">
        <v>104</v>
      </c>
      <c r="H51">
        <v>1106</v>
      </c>
    </row>
    <row r="52" spans="6:8" hidden="1" x14ac:dyDescent="0.25">
      <c r="F52">
        <v>37</v>
      </c>
      <c r="G52" t="s">
        <v>105</v>
      </c>
      <c r="H52">
        <v>1100</v>
      </c>
    </row>
    <row r="53" spans="6:8" hidden="1" x14ac:dyDescent="0.25">
      <c r="F53">
        <v>38</v>
      </c>
      <c r="G53" t="s">
        <v>106</v>
      </c>
      <c r="H53">
        <v>1086</v>
      </c>
    </row>
    <row r="54" spans="6:8" hidden="1" x14ac:dyDescent="0.25">
      <c r="F54">
        <v>39</v>
      </c>
      <c r="G54" t="s">
        <v>107</v>
      </c>
      <c r="H54">
        <v>1079</v>
      </c>
    </row>
    <row r="55" spans="6:8" hidden="1" x14ac:dyDescent="0.25">
      <c r="F55">
        <v>40</v>
      </c>
      <c r="G55" t="s">
        <v>108</v>
      </c>
      <c r="H55">
        <v>1050</v>
      </c>
    </row>
    <row r="56" spans="6:8" hidden="1" x14ac:dyDescent="0.25">
      <c r="F56">
        <v>41</v>
      </c>
      <c r="G56" t="s">
        <v>109</v>
      </c>
      <c r="H56">
        <v>1028</v>
      </c>
    </row>
    <row r="57" spans="6:8" hidden="1" x14ac:dyDescent="0.25">
      <c r="F57">
        <v>42</v>
      </c>
      <c r="G57" t="s">
        <v>110</v>
      </c>
      <c r="H57">
        <v>1027</v>
      </c>
    </row>
    <row r="58" spans="6:8" hidden="1" x14ac:dyDescent="0.25">
      <c r="F58">
        <v>43</v>
      </c>
      <c r="G58" t="s">
        <v>111</v>
      </c>
      <c r="H58">
        <v>1025</v>
      </c>
    </row>
    <row r="59" spans="6:8" hidden="1" x14ac:dyDescent="0.25">
      <c r="F59">
        <v>43</v>
      </c>
      <c r="G59" t="s">
        <v>112</v>
      </c>
      <c r="H59">
        <v>1025</v>
      </c>
    </row>
    <row r="60" spans="6:8" hidden="1" x14ac:dyDescent="0.25">
      <c r="F60">
        <v>44</v>
      </c>
      <c r="G60" t="s">
        <v>113</v>
      </c>
      <c r="H60">
        <v>1023</v>
      </c>
    </row>
    <row r="61" spans="6:8" hidden="1" x14ac:dyDescent="0.25">
      <c r="F61">
        <v>45</v>
      </c>
      <c r="G61" t="s">
        <v>114</v>
      </c>
      <c r="H61">
        <v>1001</v>
      </c>
    </row>
    <row r="62" spans="6:8" hidden="1" x14ac:dyDescent="0.25">
      <c r="F62">
        <v>46</v>
      </c>
      <c r="G62" t="s">
        <v>71</v>
      </c>
      <c r="H62">
        <v>983</v>
      </c>
    </row>
    <row r="63" spans="6:8" hidden="1" x14ac:dyDescent="0.25">
      <c r="F63">
        <v>47</v>
      </c>
      <c r="G63" t="s">
        <v>79</v>
      </c>
      <c r="H63">
        <v>977</v>
      </c>
    </row>
    <row r="64" spans="6:8" hidden="1" x14ac:dyDescent="0.25">
      <c r="F64">
        <v>48</v>
      </c>
      <c r="G64" t="s">
        <v>80</v>
      </c>
      <c r="H64">
        <v>976</v>
      </c>
    </row>
    <row r="65" spans="6:8" hidden="1" x14ac:dyDescent="0.25">
      <c r="F65">
        <v>49</v>
      </c>
      <c r="G65" t="s">
        <v>115</v>
      </c>
      <c r="H65">
        <v>970</v>
      </c>
    </row>
    <row r="66" spans="6:8" hidden="1" x14ac:dyDescent="0.25">
      <c r="F66">
        <v>50</v>
      </c>
      <c r="G66" t="s">
        <v>53</v>
      </c>
      <c r="H66">
        <v>963</v>
      </c>
    </row>
    <row r="67" spans="6:8" hidden="1" x14ac:dyDescent="0.25">
      <c r="F67">
        <v>51</v>
      </c>
      <c r="G67" t="s">
        <v>116</v>
      </c>
      <c r="H67">
        <v>934</v>
      </c>
    </row>
    <row r="68" spans="6:8" hidden="1" x14ac:dyDescent="0.25">
      <c r="F68">
        <v>52</v>
      </c>
      <c r="G68" t="s">
        <v>117</v>
      </c>
      <c r="H68">
        <v>929</v>
      </c>
    </row>
    <row r="69" spans="6:8" hidden="1" x14ac:dyDescent="0.25">
      <c r="F69">
        <v>53</v>
      </c>
      <c r="G69" t="s">
        <v>51</v>
      </c>
      <c r="H69">
        <v>907</v>
      </c>
    </row>
    <row r="70" spans="6:8" hidden="1" x14ac:dyDescent="0.25">
      <c r="F70">
        <v>54</v>
      </c>
      <c r="G70" t="s">
        <v>118</v>
      </c>
      <c r="H70">
        <v>902</v>
      </c>
    </row>
    <row r="71" spans="6:8" hidden="1" x14ac:dyDescent="0.25">
      <c r="F71">
        <v>55</v>
      </c>
      <c r="G71" t="s">
        <v>54</v>
      </c>
      <c r="H71">
        <v>890</v>
      </c>
    </row>
    <row r="72" spans="6:8" hidden="1" x14ac:dyDescent="0.25">
      <c r="F72">
        <v>56</v>
      </c>
      <c r="G72" t="s">
        <v>119</v>
      </c>
      <c r="H72">
        <v>886</v>
      </c>
    </row>
    <row r="73" spans="6:8" hidden="1" x14ac:dyDescent="0.25">
      <c r="F73">
        <v>57</v>
      </c>
      <c r="G73" t="s">
        <v>120</v>
      </c>
      <c r="H73">
        <v>881</v>
      </c>
    </row>
    <row r="74" spans="6:8" hidden="1" x14ac:dyDescent="0.25">
      <c r="F74">
        <v>58</v>
      </c>
      <c r="G74" t="s">
        <v>57</v>
      </c>
      <c r="H74">
        <v>869</v>
      </c>
    </row>
    <row r="75" spans="6:8" hidden="1" x14ac:dyDescent="0.25">
      <c r="F75">
        <v>59</v>
      </c>
      <c r="G75" t="s">
        <v>121</v>
      </c>
      <c r="H75">
        <v>864</v>
      </c>
    </row>
    <row r="76" spans="6:8" hidden="1" x14ac:dyDescent="0.25">
      <c r="F76">
        <v>60</v>
      </c>
      <c r="G76" t="s">
        <v>62</v>
      </c>
      <c r="H76">
        <v>858</v>
      </c>
    </row>
    <row r="77" spans="6:8" hidden="1" x14ac:dyDescent="0.25">
      <c r="F77">
        <v>61</v>
      </c>
      <c r="G77" t="s">
        <v>122</v>
      </c>
      <c r="H77">
        <v>827</v>
      </c>
    </row>
    <row r="78" spans="6:8" hidden="1" x14ac:dyDescent="0.25">
      <c r="F78">
        <v>61</v>
      </c>
      <c r="G78" t="s">
        <v>43</v>
      </c>
      <c r="H78">
        <v>827</v>
      </c>
    </row>
    <row r="79" spans="6:8" hidden="1" x14ac:dyDescent="0.25">
      <c r="F79">
        <v>61</v>
      </c>
      <c r="G79" t="s">
        <v>123</v>
      </c>
      <c r="H79">
        <v>827</v>
      </c>
    </row>
    <row r="80" spans="6:8" hidden="1" x14ac:dyDescent="0.25">
      <c r="F80">
        <v>62</v>
      </c>
      <c r="G80" t="s">
        <v>49</v>
      </c>
      <c r="H80">
        <v>804</v>
      </c>
    </row>
    <row r="81" spans="6:8" hidden="1" x14ac:dyDescent="0.25">
      <c r="F81">
        <v>63</v>
      </c>
      <c r="G81" t="s">
        <v>124</v>
      </c>
      <c r="H81">
        <v>788</v>
      </c>
    </row>
    <row r="82" spans="6:8" hidden="1" x14ac:dyDescent="0.25">
      <c r="F82">
        <v>64</v>
      </c>
      <c r="G82" t="s">
        <v>125</v>
      </c>
      <c r="H82">
        <v>769</v>
      </c>
    </row>
    <row r="83" spans="6:8" hidden="1" x14ac:dyDescent="0.25">
      <c r="F83">
        <v>65</v>
      </c>
      <c r="G83" t="s">
        <v>47</v>
      </c>
      <c r="H83">
        <v>767</v>
      </c>
    </row>
    <row r="84" spans="6:8" hidden="1" x14ac:dyDescent="0.25">
      <c r="F84">
        <v>66</v>
      </c>
      <c r="G84" t="s">
        <v>126</v>
      </c>
      <c r="H84">
        <v>766</v>
      </c>
    </row>
    <row r="85" spans="6:8" hidden="1" x14ac:dyDescent="0.25">
      <c r="F85">
        <v>67</v>
      </c>
      <c r="G85" t="s">
        <v>127</v>
      </c>
      <c r="H85">
        <v>746</v>
      </c>
    </row>
    <row r="86" spans="6:8" hidden="1" x14ac:dyDescent="0.25">
      <c r="F86">
        <v>68</v>
      </c>
      <c r="G86" t="s">
        <v>128</v>
      </c>
      <c r="H86">
        <v>741</v>
      </c>
    </row>
    <row r="87" spans="6:8" hidden="1" x14ac:dyDescent="0.25">
      <c r="F87">
        <v>69</v>
      </c>
      <c r="G87" t="s">
        <v>74</v>
      </c>
      <c r="H87">
        <v>740</v>
      </c>
    </row>
    <row r="88" spans="6:8" hidden="1" x14ac:dyDescent="0.25">
      <c r="F88">
        <v>70</v>
      </c>
      <c r="G88" t="s">
        <v>129</v>
      </c>
      <c r="H88">
        <v>738</v>
      </c>
    </row>
    <row r="89" spans="6:8" hidden="1" x14ac:dyDescent="0.25">
      <c r="F89">
        <v>71</v>
      </c>
      <c r="G89" t="s">
        <v>15</v>
      </c>
      <c r="H89">
        <v>726</v>
      </c>
    </row>
    <row r="90" spans="6:8" hidden="1" x14ac:dyDescent="0.25">
      <c r="F90">
        <v>71</v>
      </c>
      <c r="G90" t="s">
        <v>130</v>
      </c>
      <c r="H90">
        <v>726</v>
      </c>
    </row>
    <row r="91" spans="6:8" hidden="1" x14ac:dyDescent="0.25">
      <c r="F91">
        <v>72</v>
      </c>
      <c r="G91" t="s">
        <v>131</v>
      </c>
      <c r="H91">
        <v>717</v>
      </c>
    </row>
    <row r="92" spans="6:8" hidden="1" x14ac:dyDescent="0.25">
      <c r="F92">
        <v>73</v>
      </c>
      <c r="G92" t="s">
        <v>132</v>
      </c>
      <c r="H92">
        <v>715</v>
      </c>
    </row>
    <row r="93" spans="6:8" hidden="1" x14ac:dyDescent="0.25">
      <c r="F93">
        <v>74</v>
      </c>
      <c r="G93" t="s">
        <v>133</v>
      </c>
      <c r="H93">
        <v>705</v>
      </c>
    </row>
    <row r="94" spans="6:8" hidden="1" x14ac:dyDescent="0.25">
      <c r="F94">
        <v>75</v>
      </c>
      <c r="G94" t="s">
        <v>134</v>
      </c>
      <c r="H94">
        <v>696</v>
      </c>
    </row>
    <row r="95" spans="6:8" hidden="1" x14ac:dyDescent="0.25">
      <c r="F95">
        <v>76</v>
      </c>
      <c r="G95" t="s">
        <v>135</v>
      </c>
      <c r="H95">
        <v>692</v>
      </c>
    </row>
    <row r="96" spans="6:8" hidden="1" x14ac:dyDescent="0.25">
      <c r="F96">
        <v>77</v>
      </c>
      <c r="G96" t="s">
        <v>136</v>
      </c>
      <c r="H96">
        <v>688</v>
      </c>
    </row>
    <row r="97" spans="6:8" hidden="1" x14ac:dyDescent="0.25">
      <c r="F97">
        <v>78</v>
      </c>
      <c r="G97" t="s">
        <v>137</v>
      </c>
      <c r="H97">
        <v>652</v>
      </c>
    </row>
    <row r="98" spans="6:8" hidden="1" x14ac:dyDescent="0.25">
      <c r="F98">
        <v>79</v>
      </c>
      <c r="G98" t="s">
        <v>138</v>
      </c>
      <c r="H98">
        <v>651</v>
      </c>
    </row>
    <row r="99" spans="6:8" hidden="1" x14ac:dyDescent="0.25">
      <c r="F99">
        <v>79</v>
      </c>
      <c r="G99" t="s">
        <v>139</v>
      </c>
      <c r="H99">
        <v>651</v>
      </c>
    </row>
    <row r="100" spans="6:8" hidden="1" x14ac:dyDescent="0.25">
      <c r="F100">
        <v>80</v>
      </c>
      <c r="G100" t="s">
        <v>140</v>
      </c>
      <c r="H100">
        <v>649</v>
      </c>
    </row>
    <row r="101" spans="6:8" hidden="1" x14ac:dyDescent="0.25">
      <c r="F101">
        <v>81</v>
      </c>
      <c r="G101" t="s">
        <v>141</v>
      </c>
      <c r="H101">
        <v>634</v>
      </c>
    </row>
    <row r="102" spans="6:8" hidden="1" x14ac:dyDescent="0.25">
      <c r="F102">
        <v>82</v>
      </c>
      <c r="G102" t="s">
        <v>142</v>
      </c>
      <c r="H102">
        <v>630</v>
      </c>
    </row>
    <row r="103" spans="6:8" hidden="1" x14ac:dyDescent="0.25">
      <c r="F103">
        <v>83</v>
      </c>
      <c r="G103" t="s">
        <v>143</v>
      </c>
      <c r="H103">
        <v>622</v>
      </c>
    </row>
    <row r="104" spans="6:8" hidden="1" x14ac:dyDescent="0.25">
      <c r="F104">
        <v>84</v>
      </c>
      <c r="G104" t="s">
        <v>144</v>
      </c>
      <c r="H104">
        <v>599</v>
      </c>
    </row>
    <row r="105" spans="6:8" hidden="1" x14ac:dyDescent="0.25">
      <c r="F105">
        <v>85</v>
      </c>
      <c r="G105" t="s">
        <v>145</v>
      </c>
      <c r="H105">
        <v>592</v>
      </c>
    </row>
    <row r="106" spans="6:8" hidden="1" x14ac:dyDescent="0.25">
      <c r="F106">
        <v>86</v>
      </c>
      <c r="G106" t="s">
        <v>146</v>
      </c>
      <c r="H106">
        <v>589</v>
      </c>
    </row>
    <row r="107" spans="6:8" hidden="1" x14ac:dyDescent="0.25">
      <c r="F107">
        <v>87</v>
      </c>
      <c r="G107" t="s">
        <v>147</v>
      </c>
      <c r="H107">
        <v>585</v>
      </c>
    </row>
    <row r="108" spans="6:8" hidden="1" x14ac:dyDescent="0.25">
      <c r="F108">
        <v>88</v>
      </c>
      <c r="G108" t="s">
        <v>148</v>
      </c>
      <c r="H108">
        <v>573</v>
      </c>
    </row>
    <row r="109" spans="6:8" hidden="1" x14ac:dyDescent="0.25">
      <c r="F109">
        <v>89</v>
      </c>
      <c r="G109" t="s">
        <v>149</v>
      </c>
      <c r="H109">
        <v>568</v>
      </c>
    </row>
    <row r="110" spans="6:8" hidden="1" x14ac:dyDescent="0.25">
      <c r="F110">
        <v>90</v>
      </c>
      <c r="G110" t="s">
        <v>150</v>
      </c>
      <c r="H110">
        <v>562</v>
      </c>
    </row>
    <row r="111" spans="6:8" hidden="1" x14ac:dyDescent="0.25">
      <c r="F111">
        <v>91</v>
      </c>
      <c r="G111" t="s">
        <v>151</v>
      </c>
      <c r="H111">
        <v>558</v>
      </c>
    </row>
    <row r="112" spans="6:8" hidden="1" x14ac:dyDescent="0.25">
      <c r="F112">
        <v>92</v>
      </c>
      <c r="G112" t="s">
        <v>152</v>
      </c>
      <c r="H112">
        <v>545</v>
      </c>
    </row>
    <row r="113" spans="6:8" hidden="1" x14ac:dyDescent="0.25">
      <c r="F113">
        <v>93</v>
      </c>
      <c r="G113" t="s">
        <v>153</v>
      </c>
      <c r="H113">
        <v>535</v>
      </c>
    </row>
    <row r="114" spans="6:8" hidden="1" x14ac:dyDescent="0.25">
      <c r="F114">
        <v>94</v>
      </c>
      <c r="G114" t="s">
        <v>154</v>
      </c>
      <c r="H114">
        <v>527</v>
      </c>
    </row>
    <row r="115" spans="6:8" hidden="1" x14ac:dyDescent="0.25">
      <c r="F115">
        <v>95</v>
      </c>
      <c r="G115" t="s">
        <v>155</v>
      </c>
      <c r="H115">
        <v>525</v>
      </c>
    </row>
  </sheetData>
  <autoFilter ref="F15:H115" xr:uid="{3EF02CA7-EA61-47C3-B4E3-EF31AF9DB21D}">
    <filterColumn colId="0">
      <customFilters>
        <customFilter operator="lessThan" val="21"/>
      </custom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2FDA-3C44-468E-A73A-0B88BACC829F}">
  <dimension ref="F11:H65"/>
  <sheetViews>
    <sheetView workbookViewId="0">
      <selection activeCell="F11" sqref="F11"/>
    </sheetView>
  </sheetViews>
  <sheetFormatPr defaultRowHeight="15" x14ac:dyDescent="0.25"/>
  <cols>
    <col min="6" max="6" width="11.42578125" customWidth="1"/>
    <col min="7" max="7" width="9.42578125" customWidth="1"/>
  </cols>
  <sheetData>
    <row r="11" spans="6:8" x14ac:dyDescent="0.25">
      <c r="F11" t="s">
        <v>313</v>
      </c>
    </row>
    <row r="15" spans="6:8" x14ac:dyDescent="0.25">
      <c r="F15" t="s">
        <v>83</v>
      </c>
      <c r="G15" t="s">
        <v>190</v>
      </c>
      <c r="H15" t="s">
        <v>191</v>
      </c>
    </row>
    <row r="16" spans="6:8" x14ac:dyDescent="0.25">
      <c r="F16" t="s">
        <v>98</v>
      </c>
      <c r="G16" t="s">
        <v>192</v>
      </c>
      <c r="H16">
        <v>398</v>
      </c>
    </row>
    <row r="17" spans="6:8" x14ac:dyDescent="0.25">
      <c r="F17" t="s">
        <v>117</v>
      </c>
      <c r="G17" t="s">
        <v>193</v>
      </c>
      <c r="H17">
        <v>296</v>
      </c>
    </row>
    <row r="18" spans="6:8" x14ac:dyDescent="0.25">
      <c r="F18" t="s">
        <v>95</v>
      </c>
      <c r="G18" t="s">
        <v>194</v>
      </c>
      <c r="H18">
        <v>287</v>
      </c>
    </row>
    <row r="19" spans="6:8" x14ac:dyDescent="0.25">
      <c r="F19" t="s">
        <v>97</v>
      </c>
      <c r="G19" t="s">
        <v>195</v>
      </c>
      <c r="H19">
        <v>141</v>
      </c>
    </row>
    <row r="20" spans="6:8" x14ac:dyDescent="0.25">
      <c r="F20" t="s">
        <v>112</v>
      </c>
      <c r="G20" t="s">
        <v>196</v>
      </c>
      <c r="H20">
        <v>139</v>
      </c>
    </row>
    <row r="21" spans="6:8" x14ac:dyDescent="0.25">
      <c r="F21" t="s">
        <v>120</v>
      </c>
      <c r="G21" t="s">
        <v>197</v>
      </c>
      <c r="H21">
        <v>136</v>
      </c>
    </row>
    <row r="22" spans="6:8" x14ac:dyDescent="0.25">
      <c r="F22" t="s">
        <v>80</v>
      </c>
      <c r="G22" t="s">
        <v>198</v>
      </c>
      <c r="H22">
        <v>126</v>
      </c>
    </row>
    <row r="23" spans="6:8" x14ac:dyDescent="0.25">
      <c r="F23" t="s">
        <v>120</v>
      </c>
      <c r="G23" t="s">
        <v>199</v>
      </c>
      <c r="H23">
        <v>125</v>
      </c>
    </row>
    <row r="24" spans="6:8" x14ac:dyDescent="0.25">
      <c r="F24" t="s">
        <v>200</v>
      </c>
      <c r="G24" t="s">
        <v>201</v>
      </c>
      <c r="H24">
        <v>109</v>
      </c>
    </row>
    <row r="25" spans="6:8" x14ac:dyDescent="0.25">
      <c r="F25" t="s">
        <v>89</v>
      </c>
      <c r="G25" t="s">
        <v>202</v>
      </c>
      <c r="H25">
        <v>105</v>
      </c>
    </row>
    <row r="26" spans="6:8" x14ac:dyDescent="0.25">
      <c r="F26" t="s">
        <v>12</v>
      </c>
      <c r="G26" t="s">
        <v>203</v>
      </c>
      <c r="H26">
        <v>96</v>
      </c>
    </row>
    <row r="27" spans="6:8" x14ac:dyDescent="0.25">
      <c r="F27" t="s">
        <v>124</v>
      </c>
      <c r="G27" t="s">
        <v>124</v>
      </c>
      <c r="H27">
        <v>96</v>
      </c>
    </row>
    <row r="28" spans="6:8" x14ac:dyDescent="0.25">
      <c r="F28" t="s">
        <v>204</v>
      </c>
      <c r="G28" t="s">
        <v>192</v>
      </c>
      <c r="H28">
        <v>92</v>
      </c>
    </row>
    <row r="29" spans="6:8" x14ac:dyDescent="0.25">
      <c r="F29" t="s">
        <v>96</v>
      </c>
      <c r="G29" t="s">
        <v>205</v>
      </c>
      <c r="H29">
        <v>84</v>
      </c>
    </row>
    <row r="30" spans="6:8" x14ac:dyDescent="0.25">
      <c r="F30" t="s">
        <v>110</v>
      </c>
      <c r="G30" t="s">
        <v>206</v>
      </c>
      <c r="H30">
        <v>83</v>
      </c>
    </row>
    <row r="31" spans="6:8" x14ac:dyDescent="0.25">
      <c r="F31" t="s">
        <v>207</v>
      </c>
      <c r="G31" t="s">
        <v>208</v>
      </c>
      <c r="H31">
        <v>81</v>
      </c>
    </row>
    <row r="32" spans="6:8" x14ac:dyDescent="0.25">
      <c r="F32" t="s">
        <v>117</v>
      </c>
      <c r="G32" t="s">
        <v>209</v>
      </c>
      <c r="H32">
        <v>80</v>
      </c>
    </row>
    <row r="33" spans="6:8" x14ac:dyDescent="0.25">
      <c r="F33" t="s">
        <v>115</v>
      </c>
      <c r="G33" t="s">
        <v>210</v>
      </c>
      <c r="H33">
        <v>79</v>
      </c>
    </row>
    <row r="34" spans="6:8" x14ac:dyDescent="0.25">
      <c r="F34" t="s">
        <v>92</v>
      </c>
      <c r="G34" t="s">
        <v>211</v>
      </c>
      <c r="H34">
        <v>78</v>
      </c>
    </row>
    <row r="35" spans="6:8" x14ac:dyDescent="0.25">
      <c r="F35" t="s">
        <v>124</v>
      </c>
      <c r="G35" t="s">
        <v>212</v>
      </c>
      <c r="H35">
        <v>77</v>
      </c>
    </row>
    <row r="36" spans="6:8" x14ac:dyDescent="0.25">
      <c r="F36" t="s">
        <v>160</v>
      </c>
      <c r="G36" t="s">
        <v>213</v>
      </c>
      <c r="H36">
        <v>76</v>
      </c>
    </row>
    <row r="37" spans="6:8" x14ac:dyDescent="0.25">
      <c r="F37" t="s">
        <v>102</v>
      </c>
      <c r="G37" t="s">
        <v>214</v>
      </c>
      <c r="H37">
        <v>75</v>
      </c>
    </row>
    <row r="38" spans="6:8" x14ac:dyDescent="0.25">
      <c r="F38" t="s">
        <v>138</v>
      </c>
      <c r="G38" t="s">
        <v>215</v>
      </c>
      <c r="H38">
        <v>75</v>
      </c>
    </row>
    <row r="39" spans="6:8" x14ac:dyDescent="0.25">
      <c r="F39" t="s">
        <v>9</v>
      </c>
      <c r="G39" t="s">
        <v>216</v>
      </c>
      <c r="H39">
        <v>74</v>
      </c>
    </row>
    <row r="40" spans="6:8" x14ac:dyDescent="0.25">
      <c r="F40" t="s">
        <v>140</v>
      </c>
      <c r="G40" t="s">
        <v>217</v>
      </c>
      <c r="H40">
        <v>74</v>
      </c>
    </row>
    <row r="41" spans="6:8" x14ac:dyDescent="0.25">
      <c r="F41" t="s">
        <v>97</v>
      </c>
      <c r="G41" t="s">
        <v>218</v>
      </c>
      <c r="H41">
        <v>73</v>
      </c>
    </row>
    <row r="42" spans="6:8" x14ac:dyDescent="0.25">
      <c r="F42" t="s">
        <v>97</v>
      </c>
      <c r="G42" t="s">
        <v>219</v>
      </c>
      <c r="H42">
        <v>68</v>
      </c>
    </row>
    <row r="43" spans="6:8" x14ac:dyDescent="0.25">
      <c r="F43" t="s">
        <v>126</v>
      </c>
      <c r="G43" t="s">
        <v>220</v>
      </c>
      <c r="H43">
        <v>66</v>
      </c>
    </row>
    <row r="44" spans="6:8" x14ac:dyDescent="0.25">
      <c r="F44" t="s">
        <v>16</v>
      </c>
      <c r="G44" t="s">
        <v>221</v>
      </c>
      <c r="H44">
        <v>65</v>
      </c>
    </row>
    <row r="45" spans="6:8" x14ac:dyDescent="0.25">
      <c r="F45" t="s">
        <v>103</v>
      </c>
      <c r="G45" t="s">
        <v>222</v>
      </c>
      <c r="H45">
        <v>63</v>
      </c>
    </row>
    <row r="46" spans="6:8" x14ac:dyDescent="0.25">
      <c r="F46" t="s">
        <v>126</v>
      </c>
      <c r="G46" t="s">
        <v>223</v>
      </c>
      <c r="H46">
        <v>62</v>
      </c>
    </row>
    <row r="47" spans="6:8" x14ac:dyDescent="0.25">
      <c r="F47" t="s">
        <v>10</v>
      </c>
      <c r="G47" t="s">
        <v>224</v>
      </c>
      <c r="H47">
        <v>61</v>
      </c>
    </row>
    <row r="48" spans="6:8" x14ac:dyDescent="0.25">
      <c r="F48" t="s">
        <v>136</v>
      </c>
      <c r="G48" t="s">
        <v>225</v>
      </c>
      <c r="H48">
        <v>61</v>
      </c>
    </row>
    <row r="49" spans="6:8" x14ac:dyDescent="0.25">
      <c r="F49" t="s">
        <v>111</v>
      </c>
      <c r="G49" t="s">
        <v>226</v>
      </c>
      <c r="H49">
        <v>61</v>
      </c>
    </row>
    <row r="50" spans="6:8" x14ac:dyDescent="0.25">
      <c r="F50" t="s">
        <v>46</v>
      </c>
      <c r="G50" t="s">
        <v>227</v>
      </c>
      <c r="H50">
        <v>59</v>
      </c>
    </row>
    <row r="51" spans="6:8" x14ac:dyDescent="0.25">
      <c r="F51" t="s">
        <v>161</v>
      </c>
      <c r="G51" t="s">
        <v>228</v>
      </c>
      <c r="H51">
        <v>59</v>
      </c>
    </row>
    <row r="52" spans="6:8" x14ac:dyDescent="0.25">
      <c r="F52" t="s">
        <v>75</v>
      </c>
      <c r="G52" t="s">
        <v>229</v>
      </c>
      <c r="H52">
        <v>59</v>
      </c>
    </row>
    <row r="53" spans="6:8" x14ac:dyDescent="0.25">
      <c r="F53" t="s">
        <v>162</v>
      </c>
      <c r="G53" t="s">
        <v>230</v>
      </c>
      <c r="H53">
        <v>58</v>
      </c>
    </row>
    <row r="54" spans="6:8" x14ac:dyDescent="0.25">
      <c r="F54" t="s">
        <v>97</v>
      </c>
      <c r="G54" t="s">
        <v>231</v>
      </c>
      <c r="H54">
        <v>58</v>
      </c>
    </row>
    <row r="55" spans="6:8" x14ac:dyDescent="0.25">
      <c r="F55" t="s">
        <v>232</v>
      </c>
      <c r="G55" t="s">
        <v>233</v>
      </c>
      <c r="H55">
        <v>58</v>
      </c>
    </row>
    <row r="56" spans="6:8" x14ac:dyDescent="0.25">
      <c r="F56" t="s">
        <v>51</v>
      </c>
      <c r="G56" t="s">
        <v>234</v>
      </c>
      <c r="H56">
        <v>58</v>
      </c>
    </row>
    <row r="57" spans="6:8" x14ac:dyDescent="0.25">
      <c r="F57" t="s">
        <v>97</v>
      </c>
      <c r="G57" t="s">
        <v>235</v>
      </c>
      <c r="H57">
        <v>58</v>
      </c>
    </row>
    <row r="58" spans="6:8" x14ac:dyDescent="0.25">
      <c r="F58" t="s">
        <v>104</v>
      </c>
      <c r="G58" t="s">
        <v>236</v>
      </c>
      <c r="H58">
        <v>57</v>
      </c>
    </row>
    <row r="59" spans="6:8" x14ac:dyDescent="0.25">
      <c r="F59" t="s">
        <v>159</v>
      </c>
      <c r="G59" t="s">
        <v>237</v>
      </c>
      <c r="H59">
        <v>57</v>
      </c>
    </row>
    <row r="60" spans="6:8" x14ac:dyDescent="0.25">
      <c r="F60" t="s">
        <v>101</v>
      </c>
      <c r="G60" t="s">
        <v>238</v>
      </c>
      <c r="H60">
        <v>57</v>
      </c>
    </row>
    <row r="61" spans="6:8" x14ac:dyDescent="0.25">
      <c r="F61" t="s">
        <v>239</v>
      </c>
      <c r="G61" t="s">
        <v>240</v>
      </c>
      <c r="H61">
        <v>57</v>
      </c>
    </row>
    <row r="62" spans="6:8" x14ac:dyDescent="0.25">
      <c r="F62" t="s">
        <v>76</v>
      </c>
      <c r="G62" t="s">
        <v>241</v>
      </c>
      <c r="H62">
        <v>57</v>
      </c>
    </row>
    <row r="63" spans="6:8" x14ac:dyDescent="0.25">
      <c r="F63" t="s">
        <v>242</v>
      </c>
      <c r="G63" t="s">
        <v>243</v>
      </c>
      <c r="H63">
        <v>55</v>
      </c>
    </row>
    <row r="64" spans="6:8" x14ac:dyDescent="0.25">
      <c r="F64" t="s">
        <v>127</v>
      </c>
      <c r="G64" t="s">
        <v>244</v>
      </c>
      <c r="H64">
        <v>54</v>
      </c>
    </row>
    <row r="65" spans="6:8" x14ac:dyDescent="0.25">
      <c r="F65" t="s">
        <v>107</v>
      </c>
      <c r="G65" t="s">
        <v>245</v>
      </c>
      <c r="H65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11</vt:i4>
      </vt:variant>
      <vt:variant>
        <vt:lpstr>Wykresy</vt:lpstr>
      </vt:variant>
      <vt:variant>
        <vt:i4>5</vt:i4>
      </vt:variant>
    </vt:vector>
  </HeadingPairs>
  <TitlesOfParts>
    <vt:vector size="16" baseType="lpstr">
      <vt:lpstr>Top scorers</vt:lpstr>
      <vt:lpstr> Top 10 Polish scorers3</vt:lpstr>
      <vt:lpstr>Top scorers every decade</vt:lpstr>
      <vt:lpstr>Key players</vt:lpstr>
      <vt:lpstr>Penalty's goals stats</vt:lpstr>
      <vt:lpstr>Goals in every decade</vt:lpstr>
      <vt:lpstr>Polish team stats</vt:lpstr>
      <vt:lpstr>Arkusz7</vt:lpstr>
      <vt:lpstr>Brazil vs Argentina</vt:lpstr>
      <vt:lpstr>Arkusz10</vt:lpstr>
      <vt:lpstr>Arkusz13</vt:lpstr>
      <vt:lpstr>1.1 Top scorers</vt:lpstr>
      <vt:lpstr>1.2 Top 10 Polish scorers</vt:lpstr>
      <vt:lpstr>1.3 Top scorers every decade</vt:lpstr>
      <vt:lpstr>1.4 Key players</vt:lpstr>
      <vt:lpstr>1.5 Penalty's goals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Mateusz Bochenek</cp:lastModifiedBy>
  <dcterms:created xsi:type="dcterms:W3CDTF">2015-06-05T18:19:34Z</dcterms:created>
  <dcterms:modified xsi:type="dcterms:W3CDTF">2025-10-26T17:03:21Z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RK_MODE_0292">
    <vt:i4>0</vt:i4>
  </property>
</Properties>
</file>